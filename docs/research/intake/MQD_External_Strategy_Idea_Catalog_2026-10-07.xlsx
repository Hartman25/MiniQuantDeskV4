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50a74e450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y_Catalog" sheetId="1" r:id="Rc76e218f176644a5"/>
    <x:sheet xmlns:r="http://schemas.openxmlformats.org/officeDocument/2006/relationships" name="Summary" sheetId="2" r:id="Rc77acd26de9a42a7"/>
    <x:sheet xmlns:r="http://schemas.openxmlformats.org/officeDocument/2006/relationships" name="Source_Index" sheetId="3" r:id="R8ab50e980a7e412b"/>
    <x:sheet xmlns:r="http://schemas.openxmlformats.org/officeDocument/2006/relationships" name="Asset_Test_Matrix" sheetId="4" r:id="R1e42ac31c1994d96"/>
    <x:sheet xmlns:r="http://schemas.openxmlformats.org/officeDocument/2006/relationships" name="Testing_Guardrails" sheetId="5" r:id="R770dbdbe906d4821"/>
    <x:sheet xmlns:r="http://schemas.openxmlformats.org/officeDocument/2006/relationships" name="README" sheetId="6" r:id="R4dee4082d11f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6"/>
      <x:color rgb="FFFFFFFF"/>
      <x:name val="Carlito"/>
    </x:font>
    <x:font>
      <x:b/>
      <x:sz val="11"/>
      <x:color rgb="FF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c2e3ea32f4a0f" /><Relationship Type="http://schemas.openxmlformats.org/officeDocument/2006/relationships/theme" Target="/xl/theme/theme1.xml" Id="R87ff89ac2eb74abe" /><Relationship Type="http://schemas.openxmlformats.org/officeDocument/2006/relationships/sharedStrings" Target="/xl/sharedStrings.xml" Id="R9b8d7a437a54451e" /><Relationship Type="http://schemas.openxmlformats.org/officeDocument/2006/relationships/worksheet" Target="/xl/worksheets/sheet1.xml" Id="Rc76e218f176644a5" /><Relationship Type="http://schemas.openxmlformats.org/officeDocument/2006/relationships/worksheet" Target="/xl/worksheets/sheet2.xml" Id="Rc77acd26de9a42a7" /><Relationship Type="http://schemas.openxmlformats.org/officeDocument/2006/relationships/worksheet" Target="/xl/worksheets/sheet3.xml" Id="R8ab50e980a7e412b" /><Relationship Type="http://schemas.openxmlformats.org/officeDocument/2006/relationships/worksheet" Target="/xl/worksheets/sheet4.xml" Id="R1e42ac31c1994d96" /><Relationship Type="http://schemas.openxmlformats.org/officeDocument/2006/relationships/worksheet" Target="/xl/worksheets/sheet5.xml" Id="R770dbdbe906d4821" /><Relationship Type="http://schemas.openxmlformats.org/officeDocument/2006/relationships/worksheet" Target="/xl/worksheets/sheet6.xml" Id="R4dee4082d11f45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234079bd6c40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Candidates by Asset Class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Candidate Count</c:v>
          </c:tx>
          <c:cat>
            <c:strRef>
              <c:f>'Summary'!$D$5:$D$27</c:f>
              <c:strCache>
                <c:ptCount val="0"/>
              </c:strCache>
            </c:strRef>
          </c:cat>
          <c:val>
            <c:numRef>
              <c:f>'Summary'!$E$5:$E$27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234079bd6c404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rategyCatalogTable" displayName="StrategyCatalogTable" ref="A1:Z201" headerRowCount="1" totalsRowCount="0" totalsRowShown="0">
  <x:tableColumns count="26">
    <x:tableColumn id="1" name="Candidate_ID"/>
    <x:tableColumn id="2" name="Strategy_Name"/>
    <x:tableColumn id="3" name="Canonical_Family"/>
    <x:tableColumn id="4" name="Source"/>
    <x:tableColumn id="5" name="Source_Tier"/>
    <x:tableColumn id="6" name="Spec_Status"/>
    <x:tableColumn id="7" name="Source_Fidelity"/>
    <x:tableColumn id="8" name="Asset_Class"/>
    <x:tableColumn id="9" name="Suggested_Universe"/>
    <x:tableColumn id="10" name="Native_Direction"/>
    <x:tableColumn id="11" name="Test_Long"/>
    <x:tableColumn id="12" name="Test_Short"/>
    <x:tableColumn id="13" name="Holding_Horizon"/>
    <x:tableColumn id="14" name="Signal_Timeframe"/>
    <x:tableColumn id="15" name="Long_Logic"/>
    <x:tableColumn id="16" name="Short_Logic"/>
    <x:tableColumn id="17" name="Exit_or_Rebalance"/>
    <x:tableColumn id="18" name="Key_Parameters"/>
    <x:tableColumn id="19" name="Required_Data"/>
    <x:tableColumn id="20" name="Execution_Notes"/>
    <x:tableColumn id="21" name="Known_Bias_Risks"/>
    <x:tableColumn id="22" name="Implementation_Readiness"/>
    <x:tableColumn id="23" name="MQD_Priority"/>
    <x:tableColumn id="24" name="Source_URL"/>
    <x:tableColumn id="25" name="Access_Date"/>
    <x:tableColumn id="2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ndexTable" displayName="SourceIndexTable" ref="A1:F13" headerRowCount="1" totalsRowCount="0" totalsRowShown="0">
  <x:tableColumns count="6">
    <x:tableColumn id="1" name="Source_Group"/>
    <x:tableColumn id="2" name="Type"/>
    <x:tableColumn id="3" name="Primary_URL"/>
    <x:tableColumn id="4" name="What_Was_Collected"/>
    <x:tableColumn id="5" name="Reliability_for_Idea_Intake"/>
    <x:tableColumn id="6" name="Main_Cau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tTestMatrixTable" displayName="AssetTestMatrixTable" ref="A1:G15" headerRowCount="1" totalsRowCount="0" totalsRowShown="0">
  <x:tableColumns count="7">
    <x:tableColumn id="1" name="Asset_Sleeve"/>
    <x:tableColumn id="2" name="Representative_Test_Universe"/>
    <x:tableColumn id="3" name="Long_Mechanics"/>
    <x:tableColumn id="4" name="Short_Mechanics"/>
    <x:tableColumn id="5" name="Special_Costs_and_Constraints"/>
    <x:tableColumn id="6" name="Data_Need"/>
    <x:tableColumn id="7" name="MQD_Near_Te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00ca3204af41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e3e03cf60954d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cee13286cf4d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f78ba1952f405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8" hidden="0" customWidth="1"/>
    <x:col min="3" max="3" width="28" hidden="0" customWidth="1"/>
    <x:col min="4" max="4" width="30" hidden="0" customWidth="1"/>
    <x:col min="5" max="5" width="28" hidden="0" customWidth="1"/>
    <x:col min="6" max="6" width="34" hidden="0" customWidth="1"/>
    <x:col min="7" max="7" width="12" hidden="0" customWidth="1"/>
    <x:col min="8" max="8" width="18" hidden="0" customWidth="1"/>
    <x:col min="9" max="9" width="38" hidden="0" customWidth="1"/>
    <x:col min="10" max="10" width="23" hidden="0" customWidth="1"/>
    <x:col min="11" max="11" width="14" hidden="0" customWidth="1"/>
    <x:col min="12" max="12" width="16" hidden="0" customWidth="1"/>
    <x:col min="13" max="13" width="18" hidden="0" customWidth="1"/>
    <x:col min="14" max="14" width="20" hidden="0" customWidth="1"/>
    <x:col min="15" max="15" width="48" hidden="0" customWidth="1"/>
    <x:col min="16" max="16" width="48" hidden="0" customWidth="1"/>
    <x:col min="17" max="17" width="42" hidden="0" customWidth="1"/>
    <x:col min="18" max="18" width="40" hidden="0" customWidth="1"/>
    <x:col min="19" max="19" width="36" hidden="0" customWidth="1"/>
    <x:col min="20" max="20" width="48" hidden="0" customWidth="1"/>
    <x:col min="21" max="21" width="44" hidden="0" customWidth="1"/>
    <x:col min="22" max="22" width="18" hidden="0" customWidth="1"/>
    <x:col min="23" max="23" width="14" hidden="0" customWidth="1"/>
    <x:col min="24" max="24" width="50" hidden="0" customWidth="1"/>
    <x:col min="25" max="25" width="13" hidden="0" customWidth="1"/>
    <x:col min="26" max="26" width="48" hidden="0" customWidth="1"/>
  </x:cols>
  <x:sheetData>
    <x:row r="1">
      <x:c r="A1" s="6" t="str">
        <x:v>Candidate_ID</x:v>
      </x:c>
      <x:c r="B1" s="6" t="str">
        <x:v>Strategy_Name</x:v>
      </x:c>
      <x:c r="C1" s="6" t="str">
        <x:v>Canonical_Family</x:v>
      </x:c>
      <x:c r="D1" s="6" t="str">
        <x:v>Source</x:v>
      </x:c>
      <x:c r="E1" s="6" t="str">
        <x:v>Source_Tier</x:v>
      </x:c>
      <x:c r="F1" s="6" t="str">
        <x:v>Spec_Status</x:v>
      </x:c>
      <x:c r="G1" s="6" t="str">
        <x:v>Source_Fidelity</x:v>
      </x:c>
      <x:c r="H1" s="6" t="str">
        <x:v>Asset_Class</x:v>
      </x:c>
      <x:c r="I1" s="6" t="str">
        <x:v>Suggested_Universe</x:v>
      </x:c>
      <x:c r="J1" s="6" t="str">
        <x:v>Native_Direction</x:v>
      </x:c>
      <x:c r="K1" s="6" t="str">
        <x:v>Test_Long</x:v>
      </x:c>
      <x:c r="L1" s="6" t="str">
        <x:v>Test_Short</x:v>
      </x:c>
      <x:c r="M1" s="6" t="str">
        <x:v>Holding_Horizon</x:v>
      </x:c>
      <x:c r="N1" s="6" t="str">
        <x:v>Signal_Timeframe</x:v>
      </x:c>
      <x:c r="O1" s="6" t="str">
        <x:v>Long_Logic</x:v>
      </x:c>
      <x:c r="P1" s="6" t="str">
        <x:v>Short_Logic</x:v>
      </x:c>
      <x:c r="Q1" s="6" t="str">
        <x:v>Exit_or_Rebalance</x:v>
      </x:c>
      <x:c r="R1" s="6" t="str">
        <x:v>Key_Parameters</x:v>
      </x:c>
      <x:c r="S1" s="6" t="str">
        <x:v>Required_Data</x:v>
      </x:c>
      <x:c r="T1" s="6" t="str">
        <x:v>Execution_Notes</x:v>
      </x:c>
      <x:c r="U1" s="6" t="str">
        <x:v>Known_Bias_Risks</x:v>
      </x:c>
      <x:c r="V1" s="6" t="str">
        <x:v>Implementation_Readiness</x:v>
      </x:c>
      <x:c r="W1" s="6" t="str">
        <x:v>MQD_Priority</x:v>
      </x:c>
      <x:c r="X1" s="6" t="str">
        <x:v>Source_URL</x:v>
      </x:c>
      <x:c r="Y1" s="6" t="str">
        <x:v>Access_Date</x:v>
      </x:c>
      <x:c r="Z1" s="6" t="str">
        <x:v>Notes</x:v>
      </x:c>
    </x:row>
    <x:row r="2" ht="48" customHeight="1">
      <x:c r="A2" s="12" t="str">
        <x:v>EXT-001</x:v>
      </x:c>
      <x:c r="B2" s="12" t="str">
        <x:v>Gaussian Naive Bayes Model</x:v>
      </x:c>
      <x:c r="C2" s="12" t="str">
        <x:v>ML / Directional</x:v>
      </x:c>
      <x:c r="D2" s="12" t="str">
        <x:v>QuantConnect Strategy Library</x:v>
      </x:c>
      <x:c r="E2" s="12" t="str">
        <x:v>Strategy library</x:v>
      </x:c>
      <x:c r="F2" s="12" t="str">
        <x:v>Source summary</x:v>
      </x:c>
      <x:c r="G2" s="14" t="n">
        <x:v>0.78</x:v>
      </x:c>
      <x:c r="H2" s="12" t="str">
        <x:v>Equities</x:v>
      </x:c>
      <x:c r="I2" s="12" t="str">
        <x:v>Technology-sector constituents</x:v>
      </x:c>
      <x:c r="J2" s="12" t="str">
        <x:v>Long/Short model</x:v>
      </x:c>
      <x:c r="K2" s="12" t="str">
        <x:v>Yes</x:v>
      </x:c>
      <x:c r="L2" s="12" t="str">
        <x:v>Yes</x:v>
      </x:c>
      <x:c r="M2" s="12" t="str">
        <x:v>Daily</x:v>
      </x:c>
      <x:c r="N2" s="12" t="str">
        <x:v>Daily</x:v>
      </x:c>
      <x:c r="O2" s="12" t="str">
        <x:v>Fit Gaussian Naive Bayes on historical returns; long predicted positive next-day return.</x:v>
      </x:c>
      <x:c r="P2" s="12" t="str">
        <x:v>Short predicted negative next-day return.</x:v>
      </x:c>
      <x:c r="Q2" s="12" t="str">
        <x:v>Re-estimate/close per next-day forecast cycle.</x:v>
      </x:c>
      <x:c r="R2" s="12" t="str">
        <x:v>Lookback; feature returns; probability threshold</x:v>
      </x:c>
      <x:c r="S2" s="12" t="str">
        <x:v>Daily prices; constituent history</x:v>
      </x:c>
      <x:c r="T2" s="12" t="str">
        <x:v>Model training must be walk-forward; no future constituents.</x:v>
      </x:c>
      <x:c r="U2" s="12" t="str">
        <x:v>ML leakage, survivor bias, unstable class balance</x:v>
      </x:c>
      <x:c r="V2" s="12" t="str">
        <x:v>Low</x:v>
      </x:c>
      <x:c r="W2" s="12" t="str">
        <x:v>C</x:v>
      </x:c>
      <x:c r="X2" s="12" t="str">
        <x:v>https://www.quantconnect.com/learning/articles/investment-strategy-library</x:v>
      </x:c>
      <x:c r="Y2" s="12" t="str">
        <x:v>2026-10-07</x:v>
      </x:c>
      <x:c r="Z2" s="12" t="str">
        <x:v>Source summary; exact feature engineering requires article inspection.</x:v>
      </x:c>
    </x:row>
    <x:row r="3" ht="48" customHeight="1">
      <x:c r="A3" s="12" t="str">
        <x:v>EXT-002</x:v>
      </x:c>
      <x:c r="B3" s="12" t="str">
        <x:v>News Sentiment to Predict Drug-Manufacturer Price Direction</x:v>
      </x:c>
      <x:c r="C3" s="12" t="str">
        <x:v>News / Sentiment</x:v>
      </x:c>
      <x:c r="D3" s="12" t="str">
        <x:v>QuantConnect Strategy Library</x:v>
      </x:c>
      <x:c r="E3" s="12" t="str">
        <x:v>Strategy library</x:v>
      </x:c>
      <x:c r="F3" s="12" t="str">
        <x:v>Source summary</x:v>
      </x:c>
      <x:c r="G3" s="14" t="n">
        <x:v>0.78</x:v>
      </x:c>
      <x:c r="H3" s="12" t="str">
        <x:v>Equities</x:v>
      </x:c>
      <x:c r="I3" s="12" t="str">
        <x:v>Drug-manufacturer stocks</x:v>
      </x:c>
      <x:c r="J3" s="12" t="str">
        <x:v>Primarily long in source summary</x:v>
      </x:c>
      <x:c r="K3" s="12" t="str">
        <x:v>Yes</x:v>
      </x:c>
      <x:c r="L3" s="12" t="str">
        <x:v>Derived mirror</x:v>
      </x:c>
      <x:c r="M3" s="12" t="str">
        <x:v>Intraday</x:v>
      </x:c>
      <x:c r="N3" s="12" t="str">
        <x:v>Intraday</x:v>
      </x:c>
      <x:c r="O3" s="12" t="str">
        <x:v>Trade stocks after positive news sentiment.</x:v>
      </x:c>
      <x:c r="P3" s="12" t="str">
        <x:v>Derived: short after sufficiently negative news sentiment.</x:v>
      </x:c>
      <x:c r="Q3" s="12" t="str">
        <x:v>Time/next signal/defined intraday close.</x:v>
      </x:c>
      <x:c r="R3" s="12" t="str">
        <x:v>Sentiment threshold; news window; holding period</x:v>
      </x:c>
      <x:c r="S3" s="12" t="str">
        <x:v>Timestamped news + intraday prices</x:v>
      </x:c>
      <x:c r="T3" s="12" t="str">
        <x:v>News timestamp/latency must be causal.</x:v>
      </x:c>
      <x:c r="U3" s="12" t="str">
        <x:v>Vendor revisions, timestamp leakage, sparse events</x:v>
      </x:c>
      <x:c r="V3" s="12" t="str">
        <x:v>Medium</x:v>
      </x:c>
      <x:c r="W3" s="12" t="str">
        <x:v>B</x:v>
      </x:c>
      <x:c r="X3" s="12" t="str">
        <x:v>https://www.quantconnect.com/learning/articles/investment-strategy-library</x:v>
      </x:c>
      <x:c r="Y3" s="12" t="str">
        <x:v>2026-10-07</x:v>
      </x:c>
      <x:c r="Z3" s="12" t="str">
        <x:v>Short side is a derived mirror, not asserted by the library summary.</x:v>
      </x:c>
    </x:row>
    <x:row r="4" ht="48" customHeight="1">
      <x:c r="A4" s="12" t="str">
        <x:v>EXT-003</x:v>
      </x:c>
      <x:c r="B4" s="12" t="str">
        <x:v>SVM Wavelet Forecasting EURJPY</x:v>
      </x:c>
      <x:c r="C4" s="12" t="str">
        <x:v>ML / Forecasting</x:v>
      </x:c>
      <x:c r="D4" s="12" t="str">
        <x:v>QuantConnect Strategy Library</x:v>
      </x:c>
      <x:c r="E4" s="12" t="str">
        <x:v>Strategy library</x:v>
      </x:c>
      <x:c r="F4" s="12" t="str">
        <x:v>Source summary</x:v>
      </x:c>
      <x:c r="G4" s="14" t="n">
        <x:v>0.78</x:v>
      </x:c>
      <x:c r="H4" s="12" t="str">
        <x:v>FX</x:v>
      </x:c>
      <x:c r="I4" s="12" t="str">
        <x:v>EURJPY; later other liquid FX pairs</x:v>
      </x:c>
      <x:c r="J4" s="12" t="str">
        <x:v>Forecast-driven</x:v>
      </x:c>
      <x:c r="K4" s="12" t="str">
        <x:v>Yes</x:v>
      </x:c>
      <x:c r="L4" s="12" t="str">
        <x:v>Yes</x:v>
      </x:c>
      <x:c r="M4" s="12" t="str">
        <x:v>Short swing</x:v>
      </x:c>
      <x:c r="N4" s="12" t="str">
        <x:v>Source-specific</x:v>
      </x:c>
      <x:c r="O4" s="12" t="str">
        <x:v>Long when causal forecast exceeds entry threshold.</x:v>
      </x:c>
      <x:c r="P4" s="12" t="str">
        <x:v>Short when forecast falls below negative threshold.</x:v>
      </x:c>
      <x:c r="Q4" s="12" t="str">
        <x:v>Forecast reversal or fixed horizon.</x:v>
      </x:c>
      <x:c r="R4" s="12" t="str">
        <x:v>Wavelet transform; SVM hyperparameters; forecast threshold</x:v>
      </x:c>
      <x:c r="S4" s="12" t="str">
        <x:v>FX bars</x:v>
      </x:c>
      <x:c r="T4" s="12" t="str">
        <x:v>Walk-forward retraining and spread costs required.</x:v>
      </x:c>
      <x:c r="U4" s="12" t="str">
        <x:v>Overfit, nonstationarity, preprocessing leakage</x:v>
      </x:c>
      <x:c r="V4" s="12" t="str">
        <x:v>Low</x:v>
      </x:c>
      <x:c r="W4" s="12" t="str">
        <x:v>C</x:v>
      </x:c>
      <x:c r="X4" s="12" t="str">
        <x:v>https://www.quantconnect.com/learning/articles/investment-strategy-library</x:v>
      </x:c>
      <x:c r="Y4" s="12" t="str">
        <x:v>2026-10-07</x:v>
      </x:c>
      <x:c r="Z4" s="12" t="str">
        <x:v>Source names EURJPY specifically.</x:v>
      </x:c>
    </x:row>
    <x:row r="5" ht="48" customHeight="1">
      <x:c r="A5" s="12" t="str">
        <x:v>EXT-004</x:v>
      </x:c>
      <x:c r="B5" s="12" t="str">
        <x:v>Gradient Boosting Intraday Return Model</x:v>
      </x:c>
      <x:c r="C5" s="12" t="str">
        <x:v>ML / Directional</x:v>
      </x:c>
      <x:c r="D5" s="12" t="str">
        <x:v>QuantConnect Strategy Library</x:v>
      </x:c>
      <x:c r="E5" s="12" t="str">
        <x:v>Strategy library</x:v>
      </x:c>
      <x:c r="F5" s="12" t="str">
        <x:v>Source summary</x:v>
      </x:c>
      <x:c r="G5" s="14" t="n">
        <x:v>0.78</x:v>
      </x:c>
      <x:c r="H5" s="12" t="str">
        <x:v>Equities</x:v>
      </x:c>
      <x:c r="I5" s="12" t="str">
        <x:v>Liquid equities</x:v>
      </x:c>
      <x:c r="J5" s="12" t="str">
        <x:v>Forecast-driven</x:v>
      </x:c>
      <x:c r="K5" s="12" t="str">
        <x:v>Yes</x:v>
      </x:c>
      <x:c r="L5" s="12" t="str">
        <x:v>Yes</x:v>
      </x:c>
      <x:c r="M5" s="12" t="str">
        <x:v>Intraday</x:v>
      </x:c>
      <x:c r="N5" s="12" t="str">
        <x:v>Intraday</x:v>
      </x:c>
      <x:c r="O5" s="12" t="str">
        <x:v>Long when model forecasts positive intraday return above threshold.</x:v>
      </x:c>
      <x:c r="P5" s="12" t="str">
        <x:v>Short when model forecasts negative intraday return below threshold.</x:v>
      </x:c>
      <x:c r="Q5" s="12" t="str">
        <x:v>End of horizon or forecast reversal.</x:v>
      </x:c>
      <x:c r="R5" s="12" t="str">
        <x:v>Technical features; trees; learning rate; threshold</x:v>
      </x:c>
      <x:c r="S5" s="12" t="str">
        <x:v>Intraday OHLCV</x:v>
      </x:c>
      <x:c r="T5" s="12" t="str">
        <x:v>Model must only use completed bars.</x:v>
      </x:c>
      <x:c r="U5" s="12" t="str">
        <x:v>Feature leakage, overfit, turnover costs</x:v>
      </x:c>
      <x:c r="V5" s="12" t="str">
        <x:v>Low</x:v>
      </x:c>
      <x:c r="W5" s="12" t="str">
        <x:v>C</x:v>
      </x:c>
      <x:c r="X5" s="12" t="str">
        <x:v>https://www.quantconnect.com/learning/articles/investment-strategy-library</x:v>
      </x:c>
      <x:c r="Y5" s="12" t="str">
        <x:v>2026-10-07</x:v>
      </x:c>
      <x:c r="Z5" s="12" t="str">
        <x:v>Source summary only.</x:v>
      </x:c>
    </x:row>
    <x:row r="6" ht="48" customHeight="1">
      <x:c r="A6" s="12" t="str">
        <x:v>EXT-005</x:v>
      </x:c>
      <x:c r="B6" s="12" t="str">
        <x:v>G-Score Investing</x:v>
      </x:c>
      <x:c r="C6" s="12" t="str">
        <x:v>Fundamental / Quality</x:v>
      </x:c>
      <x:c r="D6" s="12" t="str">
        <x:v>QuantConnect Strategy Library</x:v>
      </x:c>
      <x:c r="E6" s="12" t="str">
        <x:v>Strategy library</x:v>
      </x:c>
      <x:c r="F6" s="12" t="str">
        <x:v>Source summary</x:v>
      </x:c>
      <x:c r="G6" s="14" t="n">
        <x:v>0.78</x:v>
      </x:c>
      <x:c r="H6" s="12" t="str">
        <x:v>Equities</x:v>
      </x:c>
      <x:c r="I6" s="12" t="str">
        <x:v>Technology stocks</x:v>
      </x:c>
      <x:c r="J6" s="12" t="str">
        <x:v>Long source-native</x:v>
      </x:c>
      <x:c r="K6" s="12" t="str">
        <x:v>Yes</x:v>
      </x:c>
      <x:c r="L6" s="12" t="str">
        <x:v>Derived mirror</x:v>
      </x:c>
      <x:c r="M6" s="12" t="str">
        <x:v>Weeks-Months</x:v>
      </x:c>
      <x:c r="N6" s="12" t="str">
        <x:v>Fundamental</x:v>
      </x:c>
      <x:c r="O6" s="12" t="str">
        <x:v>Rank high G-Score / favorable accounting quality and buy top names.</x:v>
      </x:c>
      <x:c r="P6" s="12" t="str">
        <x:v>Derived: short bottom G-Score names.</x:v>
      </x:c>
      <x:c r="Q6" s="12" t="str">
        <x:v>Periodic rebalance.</x:v>
      </x:c>
      <x:c r="R6" s="12" t="str">
        <x:v>G-Score components; rank cutoffs</x:v>
      </x:c>
      <x:c r="S6" s="12" t="str">
        <x:v>Point-in-time fundamentals</x:v>
      </x:c>
      <x:c r="T6" s="12" t="str">
        <x:v>Use filing availability dates.</x:v>
      </x:c>
      <x:c r="U6" s="12" t="str">
        <x:v>Restatement/look-ahead, sector concentration</x:v>
      </x:c>
      <x:c r="V6" s="12" t="str">
        <x:v>Medium</x:v>
      </x:c>
      <x:c r="W6" s="12" t="str">
        <x:v>B</x:v>
      </x:c>
      <x:c r="X6" s="12" t="str">
        <x:v>https://www.quantconnect.com/learning/articles/investment-strategy-library</x:v>
      </x:c>
      <x:c r="Y6" s="12" t="str">
        <x:v>2026-10-07</x:v>
      </x:c>
      <x:c r="Z6" s="12" t="str">
        <x:v>Short mirror requires separate candidate identity later.</x:v>
      </x:c>
    </x:row>
    <x:row r="7" ht="48" customHeight="1">
      <x:c r="A7" s="12" t="str">
        <x:v>EXT-006</x:v>
      </x:c>
      <x:c r="B7" s="12" t="str">
        <x:v>Optimal Pairs Trading</x:v>
      </x:c>
      <x:c r="C7" s="12" t="str">
        <x:v>Stat Arb / Pairs</x:v>
      </x:c>
      <x:c r="D7" s="12" t="str">
        <x:v>QuantConnect Strategy Library</x:v>
      </x:c>
      <x:c r="E7" s="12" t="str">
        <x:v>Strategy library</x:v>
      </x:c>
      <x:c r="F7" s="12" t="str">
        <x:v>Source summary</x:v>
      </x:c>
      <x:c r="G7" s="14" t="n">
        <x:v>0.78</x:v>
      </x:c>
      <x:c r="H7" s="12" t="str">
        <x:v>Equities</x:v>
      </x:c>
      <x:c r="I7" s="12" t="str">
        <x:v>Cointegrated/correlated pairs</x:v>
      </x:c>
      <x:c r="J7" s="12" t="str">
        <x:v>Market-neutral</x:v>
      </x:c>
      <x:c r="K7" s="12" t="str">
        <x:v>Yes</x:v>
      </x:c>
      <x:c r="L7" s="12" t="str">
        <x:v>Yes</x:v>
      </x:c>
      <x:c r="M7" s="12" t="str">
        <x:v>Days-Weeks</x:v>
      </x:c>
      <x:c r="N7" s="12" t="str">
        <x:v>Daily/Intraday</x:v>
      </x:c>
      <x:c r="O7" s="12" t="str">
        <x:v>Long undervalued leg / short overvalued leg when process reaches optimal entry boundary.</x:v>
      </x:c>
      <x:c r="P7" s="12" t="str">
        <x:v>Opposite orientation when spread reaches opposite boundary.</x:v>
      </x:c>
      <x:c r="Q7" s="12" t="str">
        <x:v>Liquidate at mathematically derived reversion boundary.</x:v>
      </x:c>
      <x:c r="R7" s="12" t="str">
        <x:v>Spread model; entry/liquidation boundaries; hedge ratio</x:v>
      </x:c>
      <x:c r="S7" s="12" t="str">
        <x:v>Synchronized pair prices</x:v>
      </x:c>
      <x:c r="T7" s="12" t="str">
        <x:v>Both legs and borrow must be executable.</x:v>
      </x:c>
      <x:c r="U7" s="12" t="str">
        <x:v>Relationship break, borrow, parameter instability</x:v>
      </x:c>
      <x:c r="V7" s="12" t="str">
        <x:v>Medium</x:v>
      </x:c>
      <x:c r="W7" s="12" t="str">
        <x:v>A</x:v>
      </x:c>
      <x:c r="X7" s="12" t="str">
        <x:v>https://www.quantconnect.com/learning/articles/investment-strategy-library</x:v>
      </x:c>
      <x:c r="Y7" s="12" t="str">
        <x:v>2026-10-07</x:v>
      </x:c>
      <x:c r="Z7" s="12" t="str">
        <x:v>Article derives optimal entry/liquidation values.</x:v>
      </x:c>
    </x:row>
    <x:row r="8" ht="48" customHeight="1">
      <x:c r="A8" s="12" t="str">
        <x:v>EXT-007</x:v>
      </x:c>
      <x:c r="B8" s="12" t="str">
        <x:v>Intraday Arbitrage Between Index ETFs</x:v>
      </x:c>
      <x:c r="C8" s="12" t="str">
        <x:v>Stat Arb / Relative Value</x:v>
      </x:c>
      <x:c r="D8" s="12" t="str">
        <x:v>QuantConnect Strategy Library</x:v>
      </x:c>
      <x:c r="E8" s="12" t="str">
        <x:v>Strategy library</x:v>
      </x:c>
      <x:c r="F8" s="12" t="str">
        <x:v>Source summary</x:v>
      </x:c>
      <x:c r="G8" s="14" t="n">
        <x:v>0.9</x:v>
      </x:c>
      <x:c r="H8" s="12" t="str">
        <x:v>ETFs</x:v>
      </x:c>
      <x:c r="I8" s="12" t="str">
        <x:v>Highly correlated index ETFs</x:v>
      </x:c>
      <x:c r="J8" s="12" t="str">
        <x:v>Market-neutral</x:v>
      </x:c>
      <x:c r="K8" s="12" t="str">
        <x:v>Yes</x:v>
      </x:c>
      <x:c r="L8" s="12" t="str">
        <x:v>Yes</x:v>
      </x:c>
      <x:c r="M8" s="12" t="str">
        <x:v>Intraday</x:v>
      </x:c>
      <x:c r="N8" s="12" t="str">
        <x:v>Intraday</x:v>
      </x:c>
      <x:c r="O8" s="12" t="str">
        <x:v>Buy lagging ETF when relative path diverges abnormally.</x:v>
      </x:c>
      <x:c r="P8" s="12" t="str">
        <x:v>Short leading ETF simultaneously.</x:v>
      </x:c>
      <x:c r="Q8" s="12" t="str">
        <x:v>Exit on convergence or risk limit.</x:v>
      </x:c>
      <x:c r="R8" s="12" t="str">
        <x:v>Pair; divergence threshold; hedge ratio</x:v>
      </x:c>
      <x:c r="S8" s="12" t="str">
        <x:v>Intraday ETF prices</x:v>
      </x:c>
      <x:c r="T8" s="12" t="str">
        <x:v>Synchronize timestamps; include borrow/spread.</x:v>
      </x:c>
      <x:c r="U8" s="12" t="str">
        <x:v>Microstructure artifacts, stale quotes</x:v>
      </x:c>
      <x:c r="V8" s="12" t="str">
        <x:v>High</x:v>
      </x:c>
      <x:c r="W8" s="12" t="str">
        <x:v>A</x:v>
      </x:c>
      <x:c r="X8" s="12" t="str">
        <x:v>https://www.quantconnect.com/learning/articles/investment-strategy-library</x:v>
      </x:c>
      <x:c r="Y8" s="12" t="str">
        <x:v>2026-10-07</x:v>
      </x:c>
      <x:c r="Z8" s="12" t="str">
        <x:v>Relative-value rather than true riskless arbitrage.</x:v>
      </x:c>
    </x:row>
    <x:row r="9" ht="48" customHeight="1">
      <x:c r="A9" s="12" t="str">
        <x:v>EXT-008</x:v>
      </x:c>
      <x:c r="B9" s="12" t="str">
        <x:v>Ichimoku Clouds in Energy Sector</x:v>
      </x:c>
      <x:c r="C9" s="12" t="str">
        <x:v>Trend / Ichimoku</x:v>
      </x:c>
      <x:c r="D9" s="12" t="str">
        <x:v>QuantConnect Strategy Library</x:v>
      </x:c>
      <x:c r="E9" s="12" t="str">
        <x:v>Strategy library</x:v>
      </x:c>
      <x:c r="F9" s="12" t="str">
        <x:v>Source summary</x:v>
      </x:c>
      <x:c r="G9" s="14" t="n">
        <x:v>0.9</x:v>
      </x:c>
      <x:c r="H9" s="12" t="str">
        <x:v>Equities</x:v>
      </x:c>
      <x:c r="I9" s="12" t="str">
        <x:v>Large energy companies</x:v>
      </x:c>
      <x:c r="J9" s="12" t="str">
        <x:v>Both</x:v>
      </x:c>
      <x:c r="K9" s="12" t="str">
        <x:v>Yes</x:v>
      </x:c>
      <x:c r="L9" s="12" t="str">
        <x:v>Yes</x:v>
      </x:c>
      <x:c r="M9" s="12" t="str">
        <x:v>Swing</x:v>
      </x:c>
      <x:c r="N9" s="12" t="str">
        <x:v>Daily/Intraday</x:v>
      </x:c>
      <x:c r="O9" s="12" t="str">
        <x:v>Long on bullish Ichimoku crossover / price above cloud.</x:v>
      </x:c>
      <x:c r="P9" s="12" t="str">
        <x:v>Short on bearish mirror / price below cloud.</x:v>
      </x:c>
      <x:c r="Q9" s="12" t="str">
        <x:v>Opposite signal/cloud invalidation.</x:v>
      </x:c>
      <x:c r="R9" s="12" t="str">
        <x:v>Tenkan/Kijun/Senkou settings</x:v>
      </x:c>
      <x:c r="S9" s="12" t="str">
        <x:v>OHLCV</x:v>
      </x:c>
      <x:c r="T9" s="12" t="str">
        <x:v>Use completed candles only.</x:v>
      </x:c>
      <x:c r="U9" s="12" t="str">
        <x:v>Parameter sensitivity, regime dependence</x:v>
      </x:c>
      <x:c r="V9" s="12" t="str">
        <x:v>High</x:v>
      </x:c>
      <x:c r="W9" s="12" t="str">
        <x:v>B</x:v>
      </x:c>
      <x:c r="X9" s="12" t="str">
        <x:v>https://www.quantconnect.com/learning/articles/investment-strategy-library</x:v>
      </x:c>
      <x:c r="Y9" s="12" t="str">
        <x:v>2026-10-07</x:v>
      </x:c>
      <x:c r="Z9" s="12" t="str">
        <x:v>Technical strategy summary.</x:v>
      </x:c>
    </x:row>
    <x:row r="10" ht="48" customHeight="1">
      <x:c r="A10" s="12" t="str">
        <x:v>EXT-009</x:v>
      </x:c>
      <x:c r="B10" s="12" t="str">
        <x:v>Temporal CNN Stock Forecast</x:v>
      </x:c>
      <x:c r="C10" s="12" t="str">
        <x:v>ML / Forecasting</x:v>
      </x:c>
      <x:c r="D10" s="12" t="str">
        <x:v>QuantConnect Strategy Library</x:v>
      </x:c>
      <x:c r="E10" s="12" t="str">
        <x:v>Strategy library</x:v>
      </x:c>
      <x:c r="F10" s="12" t="str">
        <x:v>Source summary</x:v>
      </x:c>
      <x:c r="G10" s="14" t="n">
        <x:v>0.78</x:v>
      </x:c>
      <x:c r="H10" s="12" t="str">
        <x:v>Equities</x:v>
      </x:c>
      <x:c r="I10" s="12" t="str">
        <x:v>Liquid equities</x:v>
      </x:c>
      <x:c r="J10" s="12" t="str">
        <x:v>Forecast-driven</x:v>
      </x:c>
      <x:c r="K10" s="12" t="str">
        <x:v>Yes</x:v>
      </x:c>
      <x:c r="L10" s="12" t="str">
        <x:v>Yes</x:v>
      </x:c>
      <x:c r="M10" s="12" t="str">
        <x:v>Daily/Swing</x:v>
      </x:c>
      <x:c r="N10" s="12" t="str">
        <x:v>Daily</x:v>
      </x:c>
      <x:c r="O10" s="12" t="str">
        <x:v>Long on positive causal TCN forecast.</x:v>
      </x:c>
      <x:c r="P10" s="12" t="str">
        <x:v>Short on negative causal TCN forecast.</x:v>
      </x:c>
      <x:c r="Q10" s="12" t="str">
        <x:v>Forecast horizon/reversal.</x:v>
      </x:c>
      <x:c r="R10" s="12" t="str">
        <x:v>Window length; network architecture; threshold</x:v>
      </x:c>
      <x:c r="S10" s="12" t="str">
        <x:v>Historical prices/features</x:v>
      </x:c>
      <x:c r="T10" s="12" t="str">
        <x:v>Strict train/validation/test chronology.</x:v>
      </x:c>
      <x:c r="U10" s="12" t="str">
        <x:v>Leakage, regime shift, model complexity</x:v>
      </x:c>
      <x:c r="V10" s="12" t="str">
        <x:v>Low</x:v>
      </x:c>
      <x:c r="W10" s="12" t="str">
        <x:v>C</x:v>
      </x:c>
      <x:c r="X10" s="12" t="str">
        <x:v>https://www.quantconnect.com/learning/articles/investment-strategy-library</x:v>
      </x:c>
      <x:c r="Y10" s="12" t="str">
        <x:v>2026-10-07</x:v>
      </x:c>
      <x:c r="Z10" s="12" t="str">
        <x:v>Research model candidate.</x:v>
      </x:c>
    </x:row>
    <x:row r="11" ht="48" customHeight="1">
      <x:c r="A11" s="12" t="str">
        <x:v>EXT-010</x:v>
      </x:c>
      <x:c r="B11" s="12" t="str">
        <x:v>Leveraged ETFs with SMA Risk Management</x:v>
      </x:c>
      <x:c r="C11" s="12" t="str">
        <x:v>Trend / Risk Overlay</x:v>
      </x:c>
      <x:c r="D11" s="12" t="str">
        <x:v>QuantConnect Strategy Library</x:v>
      </x:c>
      <x:c r="E11" s="12" t="str">
        <x:v>Strategy library</x:v>
      </x:c>
      <x:c r="F11" s="12" t="str">
        <x:v>Source summary</x:v>
      </x:c>
      <x:c r="G11" s="14" t="n">
        <x:v>0.9</x:v>
      </x:c>
      <x:c r="H11" s="12" t="str">
        <x:v>Leveraged ETFs</x:v>
      </x:c>
      <x:c r="I11" s="12" t="str">
        <x:v>Leveraged equity ETFs</x:v>
      </x:c>
      <x:c r="J11" s="12" t="str">
        <x:v>Long source-native</x:v>
      </x:c>
      <x:c r="K11" s="12" t="str">
        <x:v>Yes</x:v>
      </x:c>
      <x:c r="L11" s="12" t="str">
        <x:v>Derived mirror</x:v>
      </x:c>
      <x:c r="M11" s="12" t="str">
        <x:v>Swing</x:v>
      </x:c>
      <x:c r="N11" s="12" t="str">
        <x:v>Daily</x:v>
      </x:c>
      <x:c r="O11" s="12" t="str">
        <x:v>Hold leveraged ETF only when price/trend condition vs SMA is favorable.</x:v>
      </x:c>
      <x:c r="P11" s="12" t="str">
        <x:v>Derived: test inverse/short exposure when trend is unfavorable.</x:v>
      </x:c>
      <x:c r="Q11" s="12" t="str">
        <x:v>Exit/hedge on SMA regime reversal.</x:v>
      </x:c>
      <x:c r="R11" s="12" t="str">
        <x:v>SMA length; leveraged ETF; rebalance</x:v>
      </x:c>
      <x:c r="S11" s="12" t="str">
        <x:v>Daily prices</x:v>
      </x:c>
      <x:c r="T11" s="12" t="str">
        <x:v>Account for volatility decay and gap risk.</x:v>
      </x:c>
      <x:c r="U11" s="12" t="str">
        <x:v>Path dependence, decay, trend whipsaw</x:v>
      </x:c>
      <x:c r="V11" s="12" t="str">
        <x:v>High</x:v>
      </x:c>
      <x:c r="W11" s="12" t="str">
        <x:v>B</x:v>
      </x:c>
      <x:c r="X11" s="12" t="str">
        <x:v>https://www.quantconnect.com/learning/articles/investment-strategy-library</x:v>
      </x:c>
      <x:c r="Y11" s="12" t="str">
        <x:v>2026-10-07</x:v>
      </x:c>
      <x:c r="Z11" s="12" t="str">
        <x:v>Source seeks to manage leveraged-ETF risk.</x:v>
      </x:c>
    </x:row>
    <x:row r="12" ht="48" customHeight="1">
      <x:c r="A12" s="12" t="str">
        <x:v>EXT-011</x:v>
      </x:c>
      <x:c r="B12" s="12" t="str">
        <x:v>Intraday ETF Momentum</x:v>
      </x:c>
      <x:c r="C12" s="12" t="str">
        <x:v>Momentum / Intraday</x:v>
      </x:c>
      <x:c r="D12" s="12" t="str">
        <x:v>QuantConnect Strategy Library</x:v>
      </x:c>
      <x:c r="E12" s="12" t="str">
        <x:v>Strategy library</x:v>
      </x:c>
      <x:c r="F12" s="12" t="str">
        <x:v>Source summary</x:v>
      </x:c>
      <x:c r="G12" s="14" t="n">
        <x:v>0.9</x:v>
      </x:c>
      <x:c r="H12" s="12" t="str">
        <x:v>ETFs</x:v>
      </x:c>
      <x:c r="I12" s="12" t="str">
        <x:v>Liquid broad/sector ETFs</x:v>
      </x:c>
      <x:c r="J12" s="12" t="str">
        <x:v>Both possible</x:v>
      </x:c>
      <x:c r="K12" s="12" t="str">
        <x:v>Yes</x:v>
      </x:c>
      <x:c r="L12" s="12" t="str">
        <x:v>Yes</x:v>
      </x:c>
      <x:c r="M12" s="12" t="str">
        <x:v>Intraday</x:v>
      </x:c>
      <x:c r="N12" s="12" t="str">
        <x:v>Opening period</x:v>
      </x:c>
      <x:c r="O12" s="12" t="str">
        <x:v>Long ETFs with strong market-open return signal.</x:v>
      </x:c>
      <x:c r="P12" s="12" t="str">
        <x:v>Short ETFs with weak/negative opening return signal.</x:v>
      </x:c>
      <x:c r="Q12" s="12" t="str">
        <x:v>Intraday close or source-defined horizon.</x:v>
      </x:c>
      <x:c r="R12" s="12" t="str">
        <x:v>Opening window; return threshold/rank</x:v>
      </x:c>
      <x:c r="S12" s="12" t="str">
        <x:v>Intraday OHLCV</x:v>
      </x:c>
      <x:c r="T12" s="12" t="str">
        <x:v>Opening auction prints can be noisy.</x:v>
      </x:c>
      <x:c r="U12" s="12" t="str">
        <x:v>Slippage, open volatility, selection bias</x:v>
      </x:c>
      <x:c r="V12" s="12" t="str">
        <x:v>High</x:v>
      </x:c>
      <x:c r="W12" s="12" t="str">
        <x:v>A</x:v>
      </x:c>
      <x:c r="X12" s="12" t="str">
        <x:v>https://www.quantconnect.com/learning/articles/investment-strategy-library</x:v>
      </x:c>
      <x:c r="Y12" s="12" t="str">
        <x:v>2026-10-07</x:v>
      </x:c>
      <x:c r="Z12" s="12" t="str">
        <x:v>Source: momentum based on market-open returns.</x:v>
      </x:c>
    </x:row>
    <x:row r="13" ht="48" customHeight="1">
      <x:c r="A13" s="12" t="str">
        <x:v>EXT-012</x:v>
      </x:c>
      <x:c r="B13" s="12" t="str">
        <x:v>Momentum in Mutual Fund Returns</x:v>
      </x:c>
      <x:c r="C13" s="12" t="str">
        <x:v>Momentum / Cross-Sectional</x:v>
      </x:c>
      <x:c r="D13" s="12" t="str">
        <x:v>QuantConnect Strategy Library</x:v>
      </x:c>
      <x:c r="E13" s="12" t="str">
        <x:v>Strategy library</x:v>
      </x:c>
      <x:c r="F13" s="12" t="str">
        <x:v>Source summary</x:v>
      </x:c>
      <x:c r="G13" s="14" t="n">
        <x:v>0.9</x:v>
      </x:c>
      <x:c r="H13" s="12" t="str">
        <x:v>Equities</x:v>
      </x:c>
      <x:c r="I13" s="12" t="str">
        <x:v>Asset-management firms</x:v>
      </x:c>
      <x:c r="J13" s="12" t="str">
        <x:v>Long/Short</x:v>
      </x:c>
      <x:c r="K13" s="12" t="str">
        <x:v>Yes</x:v>
      </x:c>
      <x:c r="L13" s="12" t="str">
        <x:v>Yes</x:v>
      </x:c>
      <x:c r="M13" s="12" t="str">
        <x:v>Months</x:v>
      </x:c>
      <x:c r="N13" s="12" t="str">
        <x:v>Monthly</x:v>
      </x:c>
      <x:c r="O13" s="12" t="str">
        <x:v>Long firms with strong trailing ROC and price near trailing high.</x:v>
      </x:c>
      <x:c r="P13" s="12" t="str">
        <x:v>Short firms with weak trailing ROC / far from trailing high.</x:v>
      </x:c>
      <x:c r="Q13" s="12" t="str">
        <x:v>Periodic rebalance.</x:v>
      </x:c>
      <x:c r="R13" s="12" t="str">
        <x:v>ROC window; nearness-to-high metric; rank cutoff</x:v>
      </x:c>
      <x:c r="S13" s="12" t="str">
        <x:v>Daily prices; firm universe</x:v>
      </x:c>
      <x:c r="T13" s="12" t="str">
        <x:v>Borrow needed for short leg.</x:v>
      </x:c>
      <x:c r="U13" s="12" t="str">
        <x:v>Universe construction, factor crowding</x:v>
      </x:c>
      <x:c r="V13" s="12" t="str">
        <x:v>High</x:v>
      </x:c>
      <x:c r="W13" s="12" t="str">
        <x:v>B</x:v>
      </x:c>
      <x:c r="X13" s="12" t="str">
        <x:v>https://www.quantconnect.com/learning/articles/investment-strategy-library</x:v>
      </x:c>
      <x:c r="Y13" s="12" t="str">
        <x:v>2026-10-07</x:v>
      </x:c>
      <x:c r="Z13" s="12" t="str">
        <x:v>Source explicitly long-short.</x:v>
      </x:c>
    </x:row>
    <x:row r="14" ht="48" customHeight="1">
      <x:c r="A14" s="12" t="str">
        <x:v>EXT-013</x:v>
      </x:c>
      <x:c r="B14" s="12" t="str">
        <x:v>Residual Momentum</x:v>
      </x:c>
      <x:c r="C14" s="12" t="str">
        <x:v>Momentum / Residual</x:v>
      </x:c>
      <x:c r="D14" s="12" t="str">
        <x:v>QuantConnect Strategy Library</x:v>
      </x:c>
      <x:c r="E14" s="12" t="str">
        <x:v>Strategy library</x:v>
      </x:c>
      <x:c r="F14" s="12" t="str">
        <x:v>Source summary</x:v>
      </x:c>
      <x:c r="G14" s="14" t="n">
        <x:v>0.78</x:v>
      </x:c>
      <x:c r="H14" s="12" t="str">
        <x:v>Equities</x:v>
      </x:c>
      <x:c r="I14" s="12" t="str">
        <x:v>Broad stock universe</x:v>
      </x:c>
      <x:c r="J14" s="12" t="str">
        <x:v>Long/Short</x:v>
      </x:c>
      <x:c r="K14" s="12" t="str">
        <x:v>Yes</x:v>
      </x:c>
      <x:c r="L14" s="12" t="str">
        <x:v>Yes</x:v>
      </x:c>
      <x:c r="M14" s="12" t="str">
        <x:v>Months</x:v>
      </x:c>
      <x:c r="N14" s="12" t="str">
        <x:v>Monthly</x:v>
      </x:c>
      <x:c r="O14" s="12" t="str">
        <x:v>Long highest residual momentum normalized by residual volatility.</x:v>
      </x:c>
      <x:c r="P14" s="12" t="str">
        <x:v>Short lowest residual momentum normalized by residual volatility.</x:v>
      </x:c>
      <x:c r="Q14" s="12" t="str">
        <x:v>Periodic rebalance.</x:v>
      </x:c>
      <x:c r="R14" s="12" t="str">
        <x:v>Factor model; residual lookback; volatility normalization</x:v>
      </x:c>
      <x:c r="S14" s="12" t="str">
        <x:v>Prices + factor returns</x:v>
      </x:c>
      <x:c r="T14" s="12" t="str">
        <x:v>Point-in-time universe.</x:v>
      </x:c>
      <x:c r="U14" s="12" t="str">
        <x:v>Factor-model specification, turnover</x:v>
      </x:c>
      <x:c r="V14" s="12" t="str">
        <x:v>Medium</x:v>
      </x:c>
      <x:c r="W14" s="12" t="str">
        <x:v>A</x:v>
      </x:c>
      <x:c r="X14" s="12" t="str">
        <x:v>https://www.quantconnect.com/learning/articles/investment-strategy-library</x:v>
      </x:c>
      <x:c r="Y14" s="12" t="str">
        <x:v>2026-10-07</x:v>
      </x:c>
      <x:c r="Z14" s="12" t="str">
        <x:v>Cross-sectional long-short.</x:v>
      </x:c>
    </x:row>
    <x:row r="15" ht="48" customHeight="1">
      <x:c r="A15" s="12" t="str">
        <x:v>EXT-014</x:v>
      </x:c>
      <x:c r="B15" s="12" t="str">
        <x:v>Commodity Futures Trend Following</x:v>
      </x:c>
      <x:c r="C15" s="12" t="str">
        <x:v>Trend / Time-Series</x:v>
      </x:c>
      <x:c r="D15" s="12" t="str">
        <x:v>QuantConnect Strategy Library</x:v>
      </x:c>
      <x:c r="E15" s="12" t="str">
        <x:v>Strategy library</x:v>
      </x:c>
      <x:c r="F15" s="12" t="str">
        <x:v>Source summary</x:v>
      </x:c>
      <x:c r="G15" s="14" t="n">
        <x:v>0.9</x:v>
      </x:c>
      <x:c r="H15" s="12" t="str">
        <x:v>Futures</x:v>
      </x:c>
      <x:c r="I15" s="12" t="str">
        <x:v>Commodity futures</x:v>
      </x:c>
      <x:c r="J15" s="12" t="str">
        <x:v>Both</x:v>
      </x:c>
      <x:c r="K15" s="12" t="str">
        <x:v>Yes</x:v>
      </x:c>
      <x:c r="L15" s="12" t="str">
        <x:v>Yes</x:v>
      </x:c>
      <x:c r="M15" s="12" t="str">
        <x:v>Weeks-Months</x:v>
      </x:c>
      <x:c r="N15" s="12" t="str">
        <x:v>Daily/Weekly</x:v>
      </x:c>
      <x:c r="O15" s="12" t="str">
        <x:v>Long commodities in positive trend.</x:v>
      </x:c>
      <x:c r="P15" s="12" t="str">
        <x:v>Short commodities in negative trend.</x:v>
      </x:c>
      <x:c r="Q15" s="12" t="str">
        <x:v>Trend reversal / scheduled rebalance.</x:v>
      </x:c>
      <x:c r="R15" s="12" t="str">
        <x:v>Trend lookback; volatility scaling</x:v>
      </x:c>
      <x:c r="S15" s="12" t="str">
        <x:v>Continuous futures + roll data</x:v>
      </x:c>
      <x:c r="T15" s="12" t="str">
        <x:v>Must model contract rolls and margin.</x:v>
      </x:c>
      <x:c r="U15" s="12" t="str">
        <x:v>Roll construction, costs, limit moves</x:v>
      </x:c>
      <x:c r="V15" s="12" t="str">
        <x:v>High</x:v>
      </x:c>
      <x:c r="W15" s="12" t="str">
        <x:v>A</x:v>
      </x:c>
      <x:c r="X15" s="12" t="str">
        <x:v>https://www.quantconnect.com/learning/articles/investment-strategy-library</x:v>
      </x:c>
      <x:c r="Y15" s="12" t="str">
        <x:v>2026-10-07</x:v>
      </x:c>
      <x:c r="Z15" s="12" t="str">
        <x:v>Simple commodity trend following.</x:v>
      </x:c>
    </x:row>
    <x:row r="16" ht="48" customHeight="1">
      <x:c r="A16" s="12" t="str">
        <x:v>EXT-015</x:v>
      </x:c>
      <x:c r="B16" s="12" t="str">
        <x:v>Price and Earnings Momentum</x:v>
      </x:c>
      <x:c r="C16" s="12" t="str">
        <x:v>Momentum / Fundamental</x:v>
      </x:c>
      <x:c r="D16" s="12" t="str">
        <x:v>QuantConnect Strategy Library</x:v>
      </x:c>
      <x:c r="E16" s="12" t="str">
        <x:v>Strategy library</x:v>
      </x:c>
      <x:c r="F16" s="12" t="str">
        <x:v>Source summary</x:v>
      </x:c>
      <x:c r="G16" s="14" t="n">
        <x:v>0.78</x:v>
      </x:c>
      <x:c r="H16" s="12" t="str">
        <x:v>Equities</x:v>
      </x:c>
      <x:c r="I16" s="12" t="str">
        <x:v>Broad equities</x:v>
      </x:c>
      <x:c r="J16" s="12" t="str">
        <x:v>Long/Short candidate</x:v>
      </x:c>
      <x:c r="K16" s="12" t="str">
        <x:v>Yes</x:v>
      </x:c>
      <x:c r="L16" s="12" t="str">
        <x:v>Yes</x:v>
      </x:c>
      <x:c r="M16" s="12" t="str">
        <x:v>Quarterly</x:v>
      </x:c>
      <x:c r="N16" s="12" t="str">
        <x:v>Quarterly</x:v>
      </x:c>
      <x:c r="O16" s="12" t="str">
        <x:v>Long names with strong recent returns and earnings growth.</x:v>
      </x:c>
      <x:c r="P16" s="12" t="str">
        <x:v>Short weak-return / weak-earnings-growth names.</x:v>
      </x:c>
      <x:c r="Q16" s="12" t="str">
        <x:v>Quarterly rebalance.</x:v>
      </x:c>
      <x:c r="R16" s="12" t="str">
        <x:v>Price lookback; earnings-growth metric; rank</x:v>
      </x:c>
      <x:c r="S16" s="12" t="str">
        <x:v>Point-in-time fundamentals + prices</x:v>
      </x:c>
      <x:c r="T16" s="12" t="str">
        <x:v>Use filing timestamps.</x:v>
      </x:c>
      <x:c r="U16" s="12" t="str">
        <x:v>Look-ahead, revisions, delayed reporting</x:v>
      </x:c>
      <x:c r="V16" s="12" t="str">
        <x:v>Medium</x:v>
      </x:c>
      <x:c r="W16" s="12" t="str">
        <x:v>A</x:v>
      </x:c>
      <x:c r="X16" s="12" t="str">
        <x:v>https://www.quantconnect.com/learning/articles/investment-strategy-library</x:v>
      </x:c>
      <x:c r="Y16" s="12" t="str">
        <x:v>2026-10-07</x:v>
      </x:c>
      <x:c r="Z16" s="12" t="str">
        <x:v>Long/short mirror is natural factor test.</x:v>
      </x:c>
    </x:row>
    <x:row r="17" ht="48" customHeight="1">
      <x:c r="A17" s="12" t="str">
        <x:v>EXT-016</x:v>
      </x:c>
      <x:c r="B17" s="12" t="str">
        <x:v>Improved Momentum on Commodity Futures</x:v>
      </x:c>
      <x:c r="C17" s="12" t="str">
        <x:v>Momentum / Futures</x:v>
      </x:c>
      <x:c r="D17" s="12" t="str">
        <x:v>QuantConnect Strategy Library</x:v>
      </x:c>
      <x:c r="E17" s="12" t="str">
        <x:v>Strategy library</x:v>
      </x:c>
      <x:c r="F17" s="12" t="str">
        <x:v>Source summary</x:v>
      </x:c>
      <x:c r="G17" s="14" t="n">
        <x:v>0.78</x:v>
      </x:c>
      <x:c r="H17" s="12" t="str">
        <x:v>Futures</x:v>
      </x:c>
      <x:c r="I17" s="12" t="str">
        <x:v>Commodity futures</x:v>
      </x:c>
      <x:c r="J17" s="12" t="str">
        <x:v>Long/Short</x:v>
      </x:c>
      <x:c r="K17" s="12" t="str">
        <x:v>Yes</x:v>
      </x:c>
      <x:c r="L17" s="12" t="str">
        <x:v>Yes</x:v>
      </x:c>
      <x:c r="M17" s="12" t="str">
        <x:v>Monthly</x:v>
      </x:c>
      <x:c r="N17" s="12" t="str">
        <x:v>Daily/Monthly</x:v>
      </x:c>
      <x:c r="O17" s="12" t="str">
        <x:v>Long positive/strong trend commodities using strength-aware weights.</x:v>
      </x:c>
      <x:c r="P17" s="12" t="str">
        <x:v>Short negative/weak trend commodities.</x:v>
      </x:c>
      <x:c r="Q17" s="12" t="str">
        <x:v>Monthly rebalance; dynamic leverage.</x:v>
      </x:c>
      <x:c r="R17" s="12" t="str">
        <x:v>Baltas-Kosowski weights; vol estimator; leverage cap</x:v>
      </x:c>
      <x:c r="S17" s="12" t="str">
        <x:v>Continuous futures</x:v>
      </x:c>
      <x:c r="T17" s="12" t="str">
        <x:v>Model rolls, margin, leverage limits.</x:v>
      </x:c>
      <x:c r="U17" s="12" t="str">
        <x:v>Estimator instability, leverage, roll costs</x:v>
      </x:c>
      <x:c r="V17" s="12" t="str">
        <x:v>Medium</x:v>
      </x:c>
      <x:c r="W17" s="12" t="str">
        <x:v>A</x:v>
      </x:c>
      <x:c r="X17" s="12" t="str">
        <x:v>https://www.quantconnect.com/learning/articles/investment-strategy-library</x:v>
      </x:c>
      <x:c r="Y17" s="12" t="str">
        <x:v>2026-10-07</x:v>
      </x:c>
      <x:c r="Z17" s="12" t="str">
        <x:v>Source mentions trend strength, efficient volatility estimator, dynamic leverage.</x:v>
      </x:c>
    </x:row>
    <x:row r="18" ht="48" customHeight="1">
      <x:c r="A18" s="12" t="str">
        <x:v>EXT-017</x:v>
      </x:c>
      <x:c r="B18" s="12" t="str">
        <x:v>Expected Idiosyncratic Skewness</x:v>
      </x:c>
      <x:c r="C18" s="12" t="str">
        <x:v>Factor / Skewness</x:v>
      </x:c>
      <x:c r="D18" s="12" t="str">
        <x:v>QuantConnect Strategy Library</x:v>
      </x:c>
      <x:c r="E18" s="12" t="str">
        <x:v>Strategy library</x:v>
      </x:c>
      <x:c r="F18" s="12" t="str">
        <x:v>Source summary</x:v>
      </x:c>
      <x:c r="G18" s="14" t="n">
        <x:v>0.78</x:v>
      </x:c>
      <x:c r="H18" s="12" t="str">
        <x:v>Equities</x:v>
      </x:c>
      <x:c r="I18" s="12" t="str">
        <x:v>Broad equities</x:v>
      </x:c>
      <x:c r="J18" s="12" t="str">
        <x:v>Long source-native</x:v>
      </x:c>
      <x:c r="K18" s="12" t="str">
        <x:v>Yes</x:v>
      </x:c>
      <x:c r="L18" s="12" t="str">
        <x:v>Derived mirror</x:v>
      </x:c>
      <x:c r="M18" s="12" t="str">
        <x:v>Monthly</x:v>
      </x:c>
      <x:c r="N18" s="12" t="str">
        <x:v>Monthly</x:v>
      </x:c>
      <x:c r="O18" s="12" t="str">
        <x:v>Long bottom 5% expected idiosyncratic skewness.</x:v>
      </x:c>
      <x:c r="P18" s="12" t="str">
        <x:v>Derived: short top 5% expected idiosyncratic skewness.</x:v>
      </x:c>
      <x:c r="Q18" s="12" t="str">
        <x:v>Monthly rebalance.</x:v>
      </x:c>
      <x:c r="R18" s="12" t="str">
        <x:v>FF3 residual model; expected skewness; 5% cutoff</x:v>
      </x:c>
      <x:c r="S18" s="12" t="str">
        <x:v>Prices + factor returns</x:v>
      </x:c>
      <x:c r="T18" s="12" t="str">
        <x:v>Point-in-time universe.</x:v>
      </x:c>
      <x:c r="U18" s="12" t="str">
        <x:v>Estimation error, tail instability</x:v>
      </x:c>
      <x:c r="V18" s="12" t="str">
        <x:v>Medium</x:v>
      </x:c>
      <x:c r="W18" s="12" t="str">
        <x:v>B</x:v>
      </x:c>
      <x:c r="X18" s="12" t="str">
        <x:v>https://www.quantconnect.com/learning/articles/investment-strategy-library</x:v>
      </x:c>
      <x:c r="Y18" s="12" t="str">
        <x:v>2026-10-07</x:v>
      </x:c>
      <x:c r="Z18" s="12" t="str">
        <x:v>Native summary only states long bottom 5%.</x:v>
      </x:c>
    </x:row>
    <x:row r="19" ht="48" customHeight="1">
      <x:c r="A19" s="12" t="str">
        <x:v>EXT-018</x:v>
      </x:c>
      <x:c r="B19" s="12" t="str">
        <x:v>Risk Premia in Forex Markets</x:v>
      </x:c>
      <x:c r="C19" s="12" t="str">
        <x:v>FX / Tail Risk</x:v>
      </x:c>
      <x:c r="D19" s="12" t="str">
        <x:v>QuantConnect Strategy Library</x:v>
      </x:c>
      <x:c r="E19" s="12" t="str">
        <x:v>Strategy library</x:v>
      </x:c>
      <x:c r="F19" s="12" t="str">
        <x:v>Source summary</x:v>
      </x:c>
      <x:c r="G19" s="14" t="n">
        <x:v>0.78</x:v>
      </x:c>
      <x:c r="H19" s="12" t="str">
        <x:v>FX</x:v>
      </x:c>
      <x:c r="I19" s="12" t="str">
        <x:v>Major/cross currencies</x:v>
      </x:c>
      <x:c r="J19" s="12" t="str">
        <x:v>Long/Short</x:v>
      </x:c>
      <x:c r="K19" s="12" t="str">
        <x:v>Yes</x:v>
      </x:c>
      <x:c r="L19" s="12" t="str">
        <x:v>Yes</x:v>
      </x:c>
      <x:c r="M19" s="12" t="str">
        <x:v>Monthly</x:v>
      </x:c>
      <x:c r="N19" s="12" t="str">
        <x:v>Daily/Monthly</x:v>
      </x:c>
      <x:c r="O19" s="12" t="str">
        <x:v>Long currencies with favorable excess-return/tail-risk profile.</x:v>
      </x:c>
      <x:c r="P19" s="12" t="str">
        <x:v>Short currencies with unfavorable profile.</x:v>
      </x:c>
      <x:c r="Q19" s="12" t="str">
        <x:v>Scheduled rebalance.</x:v>
      </x:c>
      <x:c r="R19" s="12" t="str">
        <x:v>Tail-risk metric; excess-return rank</x:v>
      </x:c>
      <x:c r="S19" s="12" t="str">
        <x:v>FX spot/forward/rates</x:v>
      </x:c>
      <x:c r="T19" s="12" t="str">
        <x:v>Forward points/funding matter.</x:v>
      </x:c>
      <x:c r="U19" s="12" t="str">
        <x:v>Crash risk, rate data alignment</x:v>
      </x:c>
      <x:c r="V19" s="12" t="str">
        <x:v>Medium</x:v>
      </x:c>
      <x:c r="W19" s="12" t="str">
        <x:v>B</x:v>
      </x:c>
      <x:c r="X19" s="12" t="str">
        <x:v>https://www.quantconnect.com/learning/articles/investment-strategy-library</x:v>
      </x:c>
      <x:c r="Y19" s="12" t="str">
        <x:v>2026-10-07</x:v>
      </x:c>
      <x:c r="Z19" s="12" t="str">
        <x:v>Source summary is high-level.</x:v>
      </x:c>
    </x:row>
    <x:row r="20" ht="48" customHeight="1">
      <x:c r="A20" s="12" t="str">
        <x:v>EXT-019</x:v>
      </x:c>
      <x:c r="B20" s="12" t="str">
        <x:v>Standardized Unexpected Earnings</x:v>
      </x:c>
      <x:c r="C20" s="12" t="str">
        <x:v>Event / Earnings</x:v>
      </x:c>
      <x:c r="D20" s="12" t="str">
        <x:v>QuantConnect Strategy Library</x:v>
      </x:c>
      <x:c r="E20" s="12" t="str">
        <x:v>Strategy library</x:v>
      </x:c>
      <x:c r="F20" s="12" t="str">
        <x:v>Source summary</x:v>
      </x:c>
      <x:c r="G20" s="14" t="n">
        <x:v>0.9</x:v>
      </x:c>
      <x:c r="H20" s="12" t="str">
        <x:v>Equities</x:v>
      </x:c>
      <x:c r="I20" s="12" t="str">
        <x:v>Stocks with timely earnings data</x:v>
      </x:c>
      <x:c r="J20" s="12" t="str">
        <x:v>Long source-native</x:v>
      </x:c>
      <x:c r="K20" s="12" t="str">
        <x:v>Yes</x:v>
      </x:c>
      <x:c r="L20" s="12" t="str">
        <x:v>Derived mirror</x:v>
      </x:c>
      <x:c r="M20" s="12" t="str">
        <x:v>Weeks-Months</x:v>
      </x:c>
      <x:c r="N20" s="12" t="str">
        <x:v>Quarterly event</x:v>
      </x:c>
      <x:c r="O20" s="12" t="str">
        <x:v>Long top 5% standardized unexpected earnings.</x:v>
      </x:c>
      <x:c r="P20" s="12" t="str">
        <x:v>Derived: short bottom 5% SUE.</x:v>
      </x:c>
      <x:c r="Q20" s="12" t="str">
        <x:v>Monthly/next-event rebalance.</x:v>
      </x:c>
      <x:c r="R20" s="12" t="str">
        <x:v>SUE definition; 5% rank</x:v>
      </x:c>
      <x:c r="S20" s="12" t="str">
        <x:v>Point-in-time earnings + prices</x:v>
      </x:c>
      <x:c r="T20" s="12" t="str">
        <x:v>Trade only after public release timestamp.</x:v>
      </x:c>
      <x:c r="U20" s="12" t="str">
        <x:v>PEAD costs, illiquidity, revisions</x:v>
      </x:c>
      <x:c r="V20" s="12" t="str">
        <x:v>High</x:v>
      </x:c>
      <x:c r="W20" s="12" t="str">
        <x:v>A</x:v>
      </x:c>
      <x:c r="X20" s="12" t="str">
        <x:v>https://www.quantconnect.com/learning/articles/investment-strategy-library</x:v>
      </x:c>
      <x:c r="Y20" s="12" t="str">
        <x:v>2026-10-07</x:v>
      </x:c>
      <x:c r="Z20" s="12" t="str">
        <x:v>Mirror is conventional but not in source summary.</x:v>
      </x:c>
    </x:row>
    <x:row r="21" ht="48" customHeight="1">
      <x:c r="A21" s="12" t="str">
        <x:v>EXT-020</x:v>
      </x:c>
      <x:c r="B21" s="12" t="str">
        <x:v>Same-Calendar-Month Seasonality</x:v>
      </x:c>
      <x:c r="C21" s="12" t="str">
        <x:v>Seasonality</x:v>
      </x:c>
      <x:c r="D21" s="12" t="str">
        <x:v>QuantConnect Strategy Library</x:v>
      </x:c>
      <x:c r="E21" s="12" t="str">
        <x:v>Strategy library</x:v>
      </x:c>
      <x:c r="F21" s="12" t="str">
        <x:v>Source summary</x:v>
      </x:c>
      <x:c r="G21" s="14" t="n">
        <x:v>0.9</x:v>
      </x:c>
      <x:c r="H21" s="12" t="str">
        <x:v>Equities</x:v>
      </x:c>
      <x:c r="I21" s="12" t="str">
        <x:v>Broad equities</x:v>
      </x:c>
      <x:c r="J21" s="12" t="str">
        <x:v>Long/Short</x:v>
      </x:c>
      <x:c r="K21" s="12" t="str">
        <x:v>Yes</x:v>
      </x:c>
      <x:c r="L21" s="12" t="str">
        <x:v>Yes</x:v>
      </x:c>
      <x:c r="M21" s="12" t="str">
        <x:v>Monthly</x:v>
      </x:c>
      <x:c r="N21" s="12" t="str">
        <x:v>Monthly</x:v>
      </x:c>
      <x:c r="O21" s="12" t="str">
        <x:v>Long securities with strong historical returns in the same calendar month.</x:v>
      </x:c>
      <x:c r="P21" s="12" t="str">
        <x:v>Short securities with weak historical same-month returns.</x:v>
      </x:c>
      <x:c r="Q21" s="12" t="str">
        <x:v>Month-end rebalance.</x:v>
      </x:c>
      <x:c r="R21" s="12" t="str">
        <x:v>History years; rank buckets</x:v>
      </x:c>
      <x:c r="S21" s="12" t="str">
        <x:v>Monthly returns</x:v>
      </x:c>
      <x:c r="T21" s="12" t="str">
        <x:v>Avoid using future membership.</x:v>
      </x:c>
      <x:c r="U21" s="12" t="str">
        <x:v>Data-mining seasonality, nonstationarity</x:v>
      </x:c>
      <x:c r="V21" s="12" t="str">
        <x:v>High</x:v>
      </x:c>
      <x:c r="W21" s="12" t="str">
        <x:v>B</x:v>
      </x:c>
      <x:c r="X21" s="12" t="str">
        <x:v>https://www.quantconnect.com/learning/articles/investment-strategy-library</x:v>
      </x:c>
      <x:c r="Y21" s="12" t="str">
        <x:v>2026-10-07</x:v>
      </x:c>
      <x:c r="Z21" s="12" t="str">
        <x:v>Source explicitly long/short.</x:v>
      </x:c>
    </x:row>
    <x:row r="22" ht="48" customHeight="1">
      <x:c r="A22" s="12" t="str">
        <x:v>EXT-021</x:v>
      </x:c>
      <x:c r="B22" s="12" t="str">
        <x:v>Mean-Reversion Statistical Arbitrage in Stocks</x:v>
      </x:c>
      <x:c r="C22" s="12" t="str">
        <x:v>Stat Arb / Mean Reversion</x:v>
      </x:c>
      <x:c r="D22" s="12" t="str">
        <x:v>QuantConnect Strategy Library</x:v>
      </x:c>
      <x:c r="E22" s="12" t="str">
        <x:v>Strategy library</x:v>
      </x:c>
      <x:c r="F22" s="12" t="str">
        <x:v>Source summary</x:v>
      </x:c>
      <x:c r="G22" s="14" t="n">
        <x:v>0.78</x:v>
      </x:c>
      <x:c r="H22" s="12" t="str">
        <x:v>Equities</x:v>
      </x:c>
      <x:c r="I22" s="12" t="str">
        <x:v>Stock baskets/pairs</x:v>
      </x:c>
      <x:c r="J22" s="12" t="str">
        <x:v>Market-neutral</x:v>
      </x:c>
      <x:c r="K22" s="12" t="str">
        <x:v>Yes</x:v>
      </x:c>
      <x:c r="L22" s="12" t="str">
        <x:v>Yes</x:v>
      </x:c>
      <x:c r="M22" s="12" t="str">
        <x:v>Days-Weeks</x:v>
      </x:c>
      <x:c r="N22" s="12" t="str">
        <x:v>Daily/Intraday</x:v>
      </x:c>
      <x:c r="O22" s="12" t="str">
        <x:v>Long negative residual/extreme undervaluation.</x:v>
      </x:c>
      <x:c r="P22" s="12" t="str">
        <x:v>Short positive residual/extreme overvaluation.</x:v>
      </x:c>
      <x:c r="Q22" s="12" t="str">
        <x:v>Exit on residual convergence.</x:v>
      </x:c>
      <x:c r="R22" s="12" t="str">
        <x:v>Residual model; z-score; hedge ratios</x:v>
      </x:c>
      <x:c r="S22" s="12" t="str">
        <x:v>Synchronized prices</x:v>
      </x:c>
      <x:c r="T22" s="12" t="str">
        <x:v>Borrow and factor neutrality required.</x:v>
      </x:c>
      <x:c r="U22" s="12" t="str">
        <x:v>Model break, crowding, costs</x:v>
      </x:c>
      <x:c r="V22" s="12" t="str">
        <x:v>Medium</x:v>
      </x:c>
      <x:c r="W22" s="12" t="str">
        <x:v>A</x:v>
      </x:c>
      <x:c r="X22" s="12" t="str">
        <x:v>https://www.quantconnect.com/learning/articles/investment-strategy-library</x:v>
      </x:c>
      <x:c r="Y22" s="12" t="str">
        <x:v>2026-10-07</x:v>
      </x:c>
      <x:c r="Z22" s="12" t="str">
        <x:v>High-level source summary.</x:v>
      </x:c>
    </x:row>
    <x:row r="23" ht="48" customHeight="1">
      <x:c r="A23" s="12" t="str">
        <x:v>EXT-022</x:v>
      </x:c>
      <x:c r="B23" s="12" t="str">
        <x:v>Fama-French Five Factors Stock Selection</x:v>
      </x:c>
      <x:c r="C23" s="12" t="str">
        <x:v>Factor / Multi-Factor</x:v>
      </x:c>
      <x:c r="D23" s="12" t="str">
        <x:v>QuantConnect Strategy Library</x:v>
      </x:c>
      <x:c r="E23" s="12" t="str">
        <x:v>Strategy library</x:v>
      </x:c>
      <x:c r="F23" s="12" t="str">
        <x:v>Source summary</x:v>
      </x:c>
      <x:c r="G23" s="14" t="n">
        <x:v>0.78</x:v>
      </x:c>
      <x:c r="H23" s="12" t="str">
        <x:v>Equities</x:v>
      </x:c>
      <x:c r="I23" s="12" t="str">
        <x:v>Broad equities</x:v>
      </x:c>
      <x:c r="J23" s="12" t="str">
        <x:v>Long/Short candidate</x:v>
      </x:c>
      <x:c r="K23" s="12" t="str">
        <x:v>Yes</x:v>
      </x:c>
      <x:c r="L23" s="12" t="str">
        <x:v>Yes</x:v>
      </x:c>
      <x:c r="M23" s="12" t="str">
        <x:v>Monthly</x:v>
      </x:c>
      <x:c r="N23" s="12" t="str">
        <x:v>Monthly</x:v>
      </x:c>
      <x:c r="O23" s="12" t="str">
        <x:v>Long favorable exposures/composite ranks across FF5 characteristics.</x:v>
      </x:c>
      <x:c r="P23" s="12" t="str">
        <x:v>Short unfavorable ranks.</x:v>
      </x:c>
      <x:c r="Q23" s="12" t="str">
        <x:v>Periodic rebalance.</x:v>
      </x:c>
      <x:c r="R23" s="12" t="str">
        <x:v>Size, value, profitability, investment, market exposure</x:v>
      </x:c>
      <x:c r="S23" s="12" t="str">
        <x:v>Point-in-time fundamentals + prices</x:v>
      </x:c>
      <x:c r="T23" s="12" t="str">
        <x:v>Define investable factor proxies explicitly.</x:v>
      </x:c>
      <x:c r="U23" s="12" t="str">
        <x:v>Factor definition ambiguity, crowding</x:v>
      </x:c>
      <x:c r="V23" s="12" t="str">
        <x:v>Medium</x:v>
      </x:c>
      <x:c r="W23" s="12" t="str">
        <x:v>B</x:v>
      </x:c>
      <x:c r="X23" s="12" t="str">
        <x:v>https://www.quantconnect.com/learning/articles/investment-strategy-library</x:v>
      </x:c>
      <x:c r="Y23" s="12" t="str">
        <x:v>2026-10-07</x:v>
      </x:c>
      <x:c r="Z23" s="12" t="str">
        <x:v>Library summary is high-level.</x:v>
      </x:c>
    </x:row>
    <x:row r="24" ht="48" customHeight="1">
      <x:c r="A24" s="12" t="str">
        <x:v>EXT-023</x:v>
      </x:c>
      <x:c r="B24" s="12" t="str">
        <x:v>QC 'Time Series Momentum Effect' Page-Mismatch Candidate</x:v>
      </x:c>
      <x:c r="C24" s="12" t="str">
        <x:v>Manual Review</x:v>
      </x:c>
      <x:c r="D24" s="12" t="str">
        <x:v>QuantConnect Strategy Library</x:v>
      </x:c>
      <x:c r="E24" s="12" t="str">
        <x:v>Strategy library</x:v>
      </x:c>
      <x:c r="F24" s="12" t="str">
        <x:v>Source summary</x:v>
      </x:c>
      <x:c r="G24" s="14" t="n">
        <x:v>0.78</x:v>
      </x:c>
      <x:c r="H24" s="12" t="str">
        <x:v>Equities</x:v>
      </x:c>
      <x:c r="I24" s="12" t="str">
        <x:v>Small vs large cap equities</x:v>
      </x:c>
      <x:c r="J24" s="12" t="str">
        <x:v>Long rotation</x:v>
      </x:c>
      <x:c r="K24" s="12" t="str">
        <x:v>Yes</x:v>
      </x:c>
      <x:c r="L24" s="12" t="str">
        <x:v>Derived mirror</x:v>
      </x:c>
      <x:c r="M24" s="12" t="str">
        <x:v>Annual/Seasonal</x:v>
      </x:c>
      <x:c r="N24" s="12" t="str">
        <x:v>Monthly</x:v>
      </x:c>
      <x:c r="O24" s="12" t="str">
        <x:v>As described on library page: small caps in January, large caps remainder of year.</x:v>
      </x:c>
      <x:c r="P24" s="12" t="str">
        <x:v>Derived short leg only if later article supports it.</x:v>
      </x:c>
      <x:c r="Q24" s="12" t="str">
        <x:v>Monthly/seasonal rotation.</x:v>
      </x:c>
      <x:c r="R24" s="12" t="str">
        <x:v>Market-cap breakpoint; January window</x:v>
      </x:c>
      <x:c r="S24" s="12" t="str">
        <x:v>Prices + market cap</x:v>
      </x:c>
      <x:c r="T24" s="12" t="str">
        <x:v>DO NOT implement before opening underlying article.</x:v>
      </x:c>
      <x:c r="U24" s="12" t="str">
        <x:v>Library title/description mismatch</x:v>
      </x:c>
      <x:c r="V24" s="12" t="str">
        <x:v>Low</x:v>
      </x:c>
      <x:c r="W24" s="12" t="str">
        <x:v>C</x:v>
      </x:c>
      <x:c r="X24" s="12" t="str">
        <x:v>https://www.quantconnect.com/learning/articles/investment-strategy-library</x:v>
      </x:c>
      <x:c r="Y24" s="12" t="str">
        <x:v>2026-10-07</x:v>
      </x:c>
      <x:c r="Z24" s="12" t="str">
        <x:v>Source page title says Time Series Momentum but description is January size rotation.</x:v>
      </x:c>
    </x:row>
    <x:row r="25" ht="48" customHeight="1">
      <x:c r="A25" s="12" t="str">
        <x:v>EXT-024</x:v>
      </x:c>
      <x:c r="B25" s="12" t="str">
        <x:v>VIX Percentile Predicts Stock Index Returns</x:v>
      </x:c>
      <x:c r="C25" s="12" t="str">
        <x:v>Volatility / Timing</x:v>
      </x:c>
      <x:c r="D25" s="12" t="str">
        <x:v>QuantConnect Strategy Library</x:v>
      </x:c>
      <x:c r="E25" s="12" t="str">
        <x:v>Strategy library</x:v>
      </x:c>
      <x:c r="F25" s="12" t="str">
        <x:v>Source summary</x:v>
      </x:c>
      <x:c r="G25" s="14" t="n">
        <x:v>0.9</x:v>
      </x:c>
      <x:c r="H25" s="12" t="str">
        <x:v>Equity Index ETFs</x:v>
      </x:c>
      <x:c r="I25" s="12" t="str">
        <x:v>Broad equity index ETF</x:v>
      </x:c>
      <x:c r="J25" s="12" t="str">
        <x:v>Long/Short</x:v>
      </x:c>
      <x:c r="K25" s="12" t="str">
        <x:v>Yes</x:v>
      </x:c>
      <x:c r="L25" s="12" t="str">
        <x:v>Yes</x:v>
      </x:c>
      <x:c r="M25" s="12" t="str">
        <x:v>Days-Weeks</x:v>
      </x:c>
      <x:c r="N25" s="12" t="str">
        <x:v>Daily</x:v>
      </x:c>
      <x:c r="O25" s="12" t="str">
        <x:v>Long equity ETF when VIX is in high percentile of prior two years.</x:v>
      </x:c>
      <x:c r="P25" s="12" t="str">
        <x:v>Short equity ETF when VIX is in low percentile.</x:v>
      </x:c>
      <x:c r="Q25" s="12" t="str">
        <x:v>Reverse/neutral when regime changes.</x:v>
      </x:c>
      <x:c r="R25" s="12" t="str">
        <x:v>VIX percentile; 2y lookback</x:v>
      </x:c>
      <x:c r="S25" s="12" t="str">
        <x:v>VIX + ETF prices</x:v>
      </x:c>
      <x:c r="T25" s="12" t="str">
        <x:v>Signal available after VIX close unless intraday-defined.</x:v>
      </x:c>
      <x:c r="U25" s="12" t="str">
        <x:v>Counterintuitive sign; regime instability</x:v>
      </x:c>
      <x:c r="V25" s="12" t="str">
        <x:v>High</x:v>
      </x:c>
      <x:c r="W25" s="12" t="str">
        <x:v>B</x:v>
      </x:c>
      <x:c r="X25" s="12" t="str">
        <x:v>https://www.quantconnect.com/learning/articles/investment-strategy-library</x:v>
      </x:c>
      <x:c r="Y25" s="12" t="str">
        <x:v>2026-10-07</x:v>
      </x:c>
      <x:c r="Z25" s="12" t="str">
        <x:v>Test exactly as source before altering.</x:v>
      </x:c>
    </x:row>
    <x:row r="26" ht="48" customHeight="1">
      <x:c r="A26" s="12" t="str">
        <x:v>EXT-025</x:v>
      </x:c>
      <x:c r="B26" s="12" t="str">
        <x:v>Price-Earnings Anomaly</x:v>
      </x:c>
      <x:c r="C26" s="12" t="str">
        <x:v>Value</x:v>
      </x:c>
      <x:c r="D26" s="12" t="str">
        <x:v>QuantConnect Strategy Library</x:v>
      </x:c>
      <x:c r="E26" s="12" t="str">
        <x:v>Strategy library</x:v>
      </x:c>
      <x:c r="F26" s="12" t="str">
        <x:v>Source summary</x:v>
      </x:c>
      <x:c r="G26" s="14" t="n">
        <x:v>0.9</x:v>
      </x:c>
      <x:c r="H26" s="12" t="str">
        <x:v>Equities</x:v>
      </x:c>
      <x:c r="I26" s="12" t="str">
        <x:v>Broad equities</x:v>
      </x:c>
      <x:c r="J26" s="12" t="str">
        <x:v>Long source-native</x:v>
      </x:c>
      <x:c r="K26" s="12" t="str">
        <x:v>Yes</x:v>
      </x:c>
      <x:c r="L26" s="12" t="str">
        <x:v>Derived mirror</x:v>
      </x:c>
      <x:c r="M26" s="12" t="str">
        <x:v>Months-Year</x:v>
      </x:c>
      <x:c r="N26" s="12" t="str">
        <x:v>Annual/Quarterly</x:v>
      </x:c>
      <x:c r="O26" s="12" t="str">
        <x:v>Long low-P/E stocks.</x:v>
      </x:c>
      <x:c r="P26" s="12" t="str">
        <x:v>Derived: short high-P/E stocks.</x:v>
      </x:c>
      <x:c r="Q26" s="12" t="str">
        <x:v>Periodic rebalance.</x:v>
      </x:c>
      <x:c r="R26" s="12" t="str">
        <x:v>P/E definition; universe; rank</x:v>
      </x:c>
      <x:c r="S26" s="12" t="str">
        <x:v>Point-in-time fundamentals</x:v>
      </x:c>
      <x:c r="T26" s="12" t="str">
        <x:v>Handle negative earnings explicitly.</x:v>
      </x:c>
      <x:c r="U26" s="12" t="str">
        <x:v>Value traps, accounting lag</x:v>
      </x:c>
      <x:c r="V26" s="12" t="str">
        <x:v>High</x:v>
      </x:c>
      <x:c r="W26" s="12" t="str">
        <x:v>B</x:v>
      </x:c>
      <x:c r="X26" s="12" t="str">
        <x:v>https://www.quantconnect.com/learning/articles/investment-strategy-library</x:v>
      </x:c>
      <x:c r="Y26" s="12" t="str">
        <x:v>2026-10-07</x:v>
      </x:c>
      <x:c r="Z26" s="12" t="str">
        <x:v>Classic value hypothesis.</x:v>
      </x:c>
    </x:row>
    <x:row r="27" ht="48" customHeight="1">
      <x:c r="A27" s="12" t="str">
        <x:v>EXT-026</x:v>
      </x:c>
      <x:c r="B27" s="12" t="str">
        <x:v>Beta Factor in Country Equity Indexes</x:v>
      </x:c>
      <x:c r="C27" s="12" t="str">
        <x:v>Factor / Low Beta</x:v>
      </x:c>
      <x:c r="D27" s="12" t="str">
        <x:v>QuantConnect Strategy Library</x:v>
      </x:c>
      <x:c r="E27" s="12" t="str">
        <x:v>Strategy library</x:v>
      </x:c>
      <x:c r="F27" s="12" t="str">
        <x:v>Source summary</x:v>
      </x:c>
      <x:c r="G27" s="14" t="n">
        <x:v>0.9</x:v>
      </x:c>
      <x:c r="H27" s="12" t="str">
        <x:v>Country ETFs</x:v>
      </x:c>
      <x:c r="I27" s="12" t="str">
        <x:v>Country equity index ETFs</x:v>
      </x:c>
      <x:c r="J27" s="12" t="str">
        <x:v>Long/Short</x:v>
      </x:c>
      <x:c r="K27" s="12" t="str">
        <x:v>Yes</x:v>
      </x:c>
      <x:c r="L27" s="12" t="str">
        <x:v>Yes</x:v>
      </x:c>
      <x:c r="M27" s="12" t="str">
        <x:v>Months</x:v>
      </x:c>
      <x:c r="N27" s="12" t="str">
        <x:v>Monthly</x:v>
      </x:c>
      <x:c r="O27" s="12" t="str">
        <x:v>Long low-beta country ETFs.</x:v>
      </x:c>
      <x:c r="P27" s="12" t="str">
        <x:v>Short high-beta country ETFs.</x:v>
      </x:c>
      <x:c r="Q27" s="12" t="str">
        <x:v>Periodic rebalance.</x:v>
      </x:c>
      <x:c r="R27" s="12" t="str">
        <x:v>Beta lookback; benchmark; weighting</x:v>
      </x:c>
      <x:c r="S27" s="12" t="str">
        <x:v>ETF returns</x:v>
      </x:c>
      <x:c r="T27" s="12" t="str">
        <x:v>Short availability and FX exposure.</x:v>
      </x:c>
      <x:c r="U27" s="12" t="str">
        <x:v>Beta instability, country concentration</x:v>
      </x:c>
      <x:c r="V27" s="12" t="str">
        <x:v>High</x:v>
      </x:c>
      <x:c r="W27" s="12" t="str">
        <x:v>A</x:v>
      </x:c>
      <x:c r="X27" s="12" t="str">
        <x:v>https://www.quantconnect.com/learning/articles/investment-strategy-library</x:v>
      </x:c>
      <x:c r="Y27" s="12" t="str">
        <x:v>2026-10-07</x:v>
      </x:c>
      <x:c r="Z27" s="12" t="str">
        <x:v>Source explicit long/short.</x:v>
      </x:c>
    </x:row>
    <x:row r="28" ht="48" customHeight="1">
      <x:c r="A28" s="12" t="str">
        <x:v>EXT-027</x:v>
      </x:c>
      <x:c r="B28" s="12" t="str">
        <x:v>Value Effect within Countries</x:v>
      </x:c>
      <x:c r="C28" s="12" t="str">
        <x:v>Value / Country</x:v>
      </x:c>
      <x:c r="D28" s="12" t="str">
        <x:v>QuantConnect Strategy Library</x:v>
      </x:c>
      <x:c r="E28" s="12" t="str">
        <x:v>Strategy library</x:v>
      </x:c>
      <x:c r="F28" s="12" t="str">
        <x:v>Source summary</x:v>
      </x:c>
      <x:c r="G28" s="14" t="n">
        <x:v>0.9</x:v>
      </x:c>
      <x:c r="H28" s="12" t="str">
        <x:v>Country ETFs</x:v>
      </x:c>
      <x:c r="I28" s="12" t="str">
        <x:v>Country ETFs</x:v>
      </x:c>
      <x:c r="J28" s="12" t="str">
        <x:v>Long source-native</x:v>
      </x:c>
      <x:c r="K28" s="12" t="str">
        <x:v>Yes</x:v>
      </x:c>
      <x:c r="L28" s="12" t="str">
        <x:v>Derived mirror</x:v>
      </x:c>
      <x:c r="M28" s="12" t="str">
        <x:v>Months-Year</x:v>
      </x:c>
      <x:c r="N28" s="12" t="str">
        <x:v>Monthly/Annual</x:v>
      </x:c>
      <x:c r="O28" s="12" t="str">
        <x:v>Long cheapest third of country ETFs by CAPE.</x:v>
      </x:c>
      <x:c r="P28" s="12" t="str">
        <x:v>Derived: short most expensive third.</x:v>
      </x:c>
      <x:c r="Q28" s="12" t="str">
        <x:v>Periodic rebalance.</x:v>
      </x:c>
      <x:c r="R28" s="12" t="str">
        <x:v>CAPE; terciles</x:v>
      </x:c>
      <x:c r="S28" s="12" t="str">
        <x:v>Country valuations + ETF prices</x:v>
      </x:c>
      <x:c r="T28" s="12" t="str">
        <x:v>CAPE publication lags.</x:v>
      </x:c>
      <x:c r="U28" s="12" t="str">
        <x:v>Small universe, structural differences</x:v>
      </x:c>
      <x:c r="V28" s="12" t="str">
        <x:v>High</x:v>
      </x:c>
      <x:c r="W28" s="12" t="str">
        <x:v>B</x:v>
      </x:c>
      <x:c r="X28" s="12" t="str">
        <x:v>https://www.quantconnect.com/learning/articles/investment-strategy-library</x:v>
      </x:c>
      <x:c r="Y28" s="12" t="str">
        <x:v>2026-10-07</x:v>
      </x:c>
      <x:c r="Z28" s="12" t="str">
        <x:v>Source only states long cheap third.</x:v>
      </x:c>
    </x:row>
    <x:row r="29" ht="48" customHeight="1">
      <x:c r="A29" s="12" t="str">
        <x:v>EXT-028</x:v>
      </x:c>
      <x:c r="B29" s="12" t="str">
        <x:v>Momentum in Stocks - Small Portfolios</x:v>
      </x:c>
      <x:c r="C29" s="12" t="str">
        <x:v>Momentum / Cross-Sectional</x:v>
      </x:c>
      <x:c r="D29" s="12" t="str">
        <x:v>QuantConnect Strategy Library</x:v>
      </x:c>
      <x:c r="E29" s="12" t="str">
        <x:v>Strategy library</x:v>
      </x:c>
      <x:c r="F29" s="12" t="str">
        <x:v>Source summary</x:v>
      </x:c>
      <x:c r="G29" s="14" t="n">
        <x:v>0.9</x:v>
      </x:c>
      <x:c r="H29" s="12" t="str">
        <x:v>Equities</x:v>
      </x:c>
      <x:c r="I29" s="12" t="str">
        <x:v>Liquid stocks</x:v>
      </x:c>
      <x:c r="J29" s="12" t="str">
        <x:v>Long/Short</x:v>
      </x:c>
      <x:c r="K29" s="12" t="str">
        <x:v>Yes</x:v>
      </x:c>
      <x:c r="L29" s="12" t="str">
        <x:v>Yes</x:v>
      </x:c>
      <x:c r="M29" s="12" t="str">
        <x:v>Months</x:v>
      </x:c>
      <x:c r="N29" s="12" t="str">
        <x:v>Monthly</x:v>
      </x:c>
      <x:c r="O29" s="12" t="str">
        <x:v>Long 10 highest prior-year performers.</x:v>
      </x:c>
      <x:c r="P29" s="12" t="str">
        <x:v>Short 10 lowest prior-year performers.</x:v>
      </x:c>
      <x:c r="Q29" s="12" t="str">
        <x:v>Periodic rebalance.</x:v>
      </x:c>
      <x:c r="R29" s="12" t="str">
        <x:v>12m return; top/bottom 10</x:v>
      </x:c>
      <x:c r="S29" s="12" t="str">
        <x:v>Prices</x:v>
      </x:c>
      <x:c r="T29" s="12" t="str">
        <x:v>Consider skip-month variant separately.</x:v>
      </x:c>
      <x:c r="U29" s="12" t="str">
        <x:v>Momentum crashes, concentration</x:v>
      </x:c>
      <x:c r="V29" s="12" t="str">
        <x:v>High</x:v>
      </x:c>
      <x:c r="W29" s="12" t="str">
        <x:v>A</x:v>
      </x:c>
      <x:c r="X29" s="12" t="str">
        <x:v>https://www.quantconnect.com/learning/articles/investment-strategy-library</x:v>
      </x:c>
      <x:c r="Y29" s="12" t="str">
        <x:v>2026-10-07</x:v>
      </x:c>
      <x:c r="Z29" s="12" t="str">
        <x:v>Source explicit long/short.</x:v>
      </x:c>
    </x:row>
    <x:row r="30" ht="48" customHeight="1">
      <x:c r="A30" s="12" t="str">
        <x:v>EXT-029</x:v>
      </x:c>
      <x:c r="B30" s="12" t="str">
        <x:v>12-Month Cycle in Cross-Section of Stock Returns</x:v>
      </x:c>
      <x:c r="C30" s="12" t="str">
        <x:v>Seasonality / Cross-Sectional</x:v>
      </x:c>
      <x:c r="D30" s="12" t="str">
        <x:v>QuantConnect Strategy Library</x:v>
      </x:c>
      <x:c r="E30" s="12" t="str">
        <x:v>Strategy library</x:v>
      </x:c>
      <x:c r="F30" s="12" t="str">
        <x:v>Source summary</x:v>
      </x:c>
      <x:c r="G30" s="14" t="n">
        <x:v>0.78</x:v>
      </x:c>
      <x:c r="H30" s="12" t="str">
        <x:v>Equities</x:v>
      </x:c>
      <x:c r="I30" s="12" t="str">
        <x:v>Broad equities</x:v>
      </x:c>
      <x:c r="J30" s="12" t="str">
        <x:v>Long/Short</x:v>
      </x:c>
      <x:c r="K30" s="12" t="str">
        <x:v>Yes</x:v>
      </x:c>
      <x:c r="L30" s="12" t="str">
        <x:v>Yes</x:v>
      </x:c>
      <x:c r="M30" s="12" t="str">
        <x:v>Annual/Monthly</x:v>
      </x:c>
      <x:c r="N30" s="12" t="str">
        <x:v>Monthly</x:v>
      </x:c>
      <x:c r="O30" s="12" t="str">
        <x:v>Use last January returns; long top decile winners.</x:v>
      </x:c>
      <x:c r="P30" s="12" t="str">
        <x:v>Short bottom decile losers.</x:v>
      </x:c>
      <x:c r="Q30" s="12" t="str">
        <x:v>Hold/rebalance per source cycle.</x:v>
      </x:c>
      <x:c r="R30" s="12" t="str">
        <x:v>January-return rank; deciles</x:v>
      </x:c>
      <x:c r="S30" s="12" t="str">
        <x:v>Monthly prices</x:v>
      </x:c>
      <x:c r="T30" s="12" t="str">
        <x:v>Preserve formation/holding chronology.</x:v>
      </x:c>
      <x:c r="U30" s="12" t="str">
        <x:v>Seasonality mining, stale signal</x:v>
      </x:c>
      <x:c r="V30" s="12" t="str">
        <x:v>Medium</x:v>
      </x:c>
      <x:c r="W30" s="12" t="str">
        <x:v>B</x:v>
      </x:c>
      <x:c r="X30" s="12" t="str">
        <x:v>https://www.quantconnect.com/learning/articles/investment-strategy-library</x:v>
      </x:c>
      <x:c r="Y30" s="12" t="str">
        <x:v>2026-10-07</x:v>
      </x:c>
      <x:c r="Z30" s="12" t="str">
        <x:v>Distinct from ordinary 12m momentum.</x:v>
      </x:c>
    </x:row>
    <x:row r="31" ht="48" customHeight="1">
      <x:c r="A31" s="12" t="str">
        <x:v>EXT-030</x:v>
      </x:c>
      <x:c r="B31" s="12" t="str">
        <x:v>Beta Factors in Stocks</x:v>
      </x:c>
      <x:c r="C31" s="12" t="str">
        <x:v>Factor / Low Beta</x:v>
      </x:c>
      <x:c r="D31" s="12" t="str">
        <x:v>QuantConnect Strategy Library</x:v>
      </x:c>
      <x:c r="E31" s="12" t="str">
        <x:v>Strategy library</x:v>
      </x:c>
      <x:c r="F31" s="12" t="str">
        <x:v>Source summary</x:v>
      </x:c>
      <x:c r="G31" s="14" t="n">
        <x:v>0.9</x:v>
      </x:c>
      <x:c r="H31" s="12" t="str">
        <x:v>Equities</x:v>
      </x:c>
      <x:c r="I31" s="12" t="str">
        <x:v>Broad equities</x:v>
      </x:c>
      <x:c r="J31" s="12" t="str">
        <x:v>Long/Short</x:v>
      </x:c>
      <x:c r="K31" s="12" t="str">
        <x:v>Yes</x:v>
      </x:c>
      <x:c r="L31" s="12" t="str">
        <x:v>Yes</x:v>
      </x:c>
      <x:c r="M31" s="12" t="str">
        <x:v>Months</x:v>
      </x:c>
      <x:c r="N31" s="12" t="str">
        <x:v>Monthly</x:v>
      </x:c>
      <x:c r="O31" s="12" t="str">
        <x:v>Long bottom-beta stocks with rank weights.</x:v>
      </x:c>
      <x:c r="P31" s="12" t="str">
        <x:v>Short top-beta stocks with rank weights.</x:v>
      </x:c>
      <x:c r="Q31" s="12" t="str">
        <x:v>Periodic rebalance.</x:v>
      </x:c>
      <x:c r="R31" s="12" t="str">
        <x:v>Beta lookback; benchmark; rank weighting</x:v>
      </x:c>
      <x:c r="S31" s="12" t="str">
        <x:v>Prices</x:v>
      </x:c>
      <x:c r="T31" s="12" t="str">
        <x:v>Beta-neutralization/leveraging choices matter.</x:v>
      </x:c>
      <x:c r="U31" s="12" t="str">
        <x:v>Estimation error, leverage/borrow</x:v>
      </x:c>
      <x:c r="V31" s="12" t="str">
        <x:v>High</x:v>
      </x:c>
      <x:c r="W31" s="12" t="str">
        <x:v>A</x:v>
      </x:c>
      <x:c r="X31" s="12" t="str">
        <x:v>https://www.quantconnect.com/learning/articles/investment-strategy-library</x:v>
      </x:c>
      <x:c r="Y31" s="12" t="str">
        <x:v>2026-10-07</x:v>
      </x:c>
      <x:c r="Z31" s="12" t="str">
        <x:v>Source explicit.</x:v>
      </x:c>
    </x:row>
    <x:row r="32" ht="48" customHeight="1">
      <x:c r="A32" s="12" t="str">
        <x:v>EXT-031</x:v>
      </x:c>
      <x:c r="B32" s="12" t="str">
        <x:v>VIX Futures Term Structure with ES Hedge</x:v>
      </x:c>
      <x:c r="C32" s="12" t="str">
        <x:v>Volatility / Term Structure</x:v>
      </x:c>
      <x:c r="D32" s="12" t="str">
        <x:v>QuantConnect Strategy Library</x:v>
      </x:c>
      <x:c r="E32" s="12" t="str">
        <x:v>Strategy library</x:v>
      </x:c>
      <x:c r="F32" s="12" t="str">
        <x:v>Source summary</x:v>
      </x:c>
      <x:c r="G32" s="14" t="n">
        <x:v>0.78</x:v>
      </x:c>
      <x:c r="H32" s="12" t="str">
        <x:v>Futures</x:v>
      </x:c>
      <x:c r="I32" s="12" t="str">
        <x:v>VIX futures + E-mini S&amp;P 500</x:v>
      </x:c>
      <x:c r="J32" s="12" t="str">
        <x:v>Long/Short futures</x:v>
      </x:c>
      <x:c r="K32" s="12" t="str">
        <x:v>Yes</x:v>
      </x:c>
      <x:c r="L32" s="12" t="str">
        <x:v>Yes</x:v>
      </x:c>
      <x:c r="M32" s="12" t="str">
        <x:v>Days</x:v>
      </x:c>
      <x:c r="N32" s="12" t="str">
        <x:v>Daily</x:v>
      </x:c>
      <x:c r="O32" s="12" t="str">
        <x:v>Buy nearest VIX future when daily roll/term-structure signal is favorable.</x:v>
      </x:c>
      <x:c r="P32" s="12" t="str">
        <x:v>Sell nearest VIX future when signal is unfavorable.</x:v>
      </x:c>
      <x:c r="Q32" s="12" t="str">
        <x:v>Daily signal/roll; hedge equity beta with ES.</x:v>
      </x:c>
      <x:c r="R32" s="12" t="str">
        <x:v>Front contracts; roll metric; ES hedge ratio</x:v>
      </x:c>
      <x:c r="S32" s="12" t="str">
        <x:v>VIX futures curve + ES</x:v>
      </x:c>
      <x:c r="T32" s="12" t="str">
        <x:v>Model roll, settlement, margin.</x:v>
      </x:c>
      <x:c r="U32" s="12" t="str">
        <x:v>Convexity, gap risk, curve regime</x:v>
      </x:c>
      <x:c r="V32" s="12" t="str">
        <x:v>Medium</x:v>
      </x:c>
      <x:c r="W32" s="12" t="str">
        <x:v>B</x:v>
      </x:c>
      <x:c r="X32" s="12" t="str">
        <x:v>https://www.quantconnect.com/learning/articles/investment-strategy-library</x:v>
      </x:c>
      <x:c r="Y32" s="12" t="str">
        <x:v>2026-10-07</x:v>
      </x:c>
      <x:c r="Z32" s="12" t="str">
        <x:v>Requires careful exact replication.</x:v>
      </x:c>
    </x:row>
    <x:row r="33" ht="48" customHeight="1">
      <x:c r="A33" s="12" t="str">
        <x:v>EXT-032</x:v>
      </x:c>
      <x:c r="B33" s="12" t="str">
        <x:v>Pre-Holiday Effect</x:v>
      </x:c>
      <x:c r="C33" s="12" t="str">
        <x:v>Seasonality / Event</x:v>
      </x:c>
      <x:c r="D33" s="12" t="str">
        <x:v>QuantConnect Strategy Library</x:v>
      </x:c>
      <x:c r="E33" s="12" t="str">
        <x:v>Strategy library</x:v>
      </x:c>
      <x:c r="F33" s="12" t="str">
        <x:v>Source summary</x:v>
      </x:c>
      <x:c r="G33" s="14" t="n">
        <x:v>0.9</x:v>
      </x:c>
      <x:c r="H33" s="12" t="str">
        <x:v>Equities</x:v>
      </x:c>
      <x:c r="I33" s="12" t="str">
        <x:v>Broad equity ETF</x:v>
      </x:c>
      <x:c r="J33" s="12" t="str">
        <x:v>Long source-native</x:v>
      </x:c>
      <x:c r="K33" s="12" t="str">
        <x:v>Yes</x:v>
      </x:c>
      <x:c r="L33" s="12" t="str">
        <x:v>Derived short control</x:v>
      </x:c>
      <x:c r="M33" s="12" t="str">
        <x:v>1-2 days</x:v>
      </x:c>
      <x:c r="N33" s="12" t="str">
        <x:v>Daily</x:v>
      </x:c>
      <x:c r="O33" s="12" t="str">
        <x:v>Long equity market during two trading days before holidays.</x:v>
      </x:c>
      <x:c r="P33" s="12" t="str">
        <x:v>Derived negative-control: short same window; not source-native.</x:v>
      </x:c>
      <x:c r="Q33" s="12" t="str">
        <x:v>Exit at holiday window end.</x:v>
      </x:c>
      <x:c r="R33" s="12" t="str">
        <x:v>Holiday calendar; entry day count</x:v>
      </x:c>
      <x:c r="S33" s="12" t="str">
        <x:v>Trading calendar + prices</x:v>
      </x:c>
      <x:c r="T33" s="12" t="str">
        <x:v>Use exchange holiday calendar.</x:v>
      </x:c>
      <x:c r="U33" s="12" t="str">
        <x:v>Small sample, holiday definition drift</x:v>
      </x:c>
      <x:c r="V33" s="12" t="str">
        <x:v>High</x:v>
      </x:c>
      <x:c r="W33" s="12" t="str">
        <x:v>B</x:v>
      </x:c>
      <x:c r="X33" s="12" t="str">
        <x:v>https://www.quantconnect.com/learning/articles/investment-strategy-library</x:v>
      </x:c>
      <x:c r="Y33" s="12" t="str">
        <x:v>2026-10-07</x:v>
      </x:c>
      <x:c r="Z33" s="12" t="str">
        <x:v>Short side best treated as negative control.</x:v>
      </x:c>
    </x:row>
    <x:row r="34" ht="48" customHeight="1">
      <x:c r="A34" s="12" t="str">
        <x:v>EXT-033</x:v>
      </x:c>
      <x:c r="B34" s="12" t="str">
        <x:v>Short-Term Reversal with Futures</x:v>
      </x:c>
      <x:c r="C34" s="12" t="str">
        <x:v>Reversal / Cross-Sectional</x:v>
      </x:c>
      <x:c r="D34" s="12" t="str">
        <x:v>QuantConnect Strategy Library</x:v>
      </x:c>
      <x:c r="E34" s="12" t="str">
        <x:v>Strategy library</x:v>
      </x:c>
      <x:c r="F34" s="12" t="str">
        <x:v>Source summary</x:v>
      </x:c>
      <x:c r="G34" s="14" t="n">
        <x:v>0.9</x:v>
      </x:c>
      <x:c r="H34" s="12" t="str">
        <x:v>Futures</x:v>
      </x:c>
      <x:c r="I34" s="12" t="str">
        <x:v>Futures universe</x:v>
      </x:c>
      <x:c r="J34" s="12" t="str">
        <x:v>Long/Short</x:v>
      </x:c>
      <x:c r="K34" s="12" t="str">
        <x:v>Yes</x:v>
      </x:c>
      <x:c r="L34" s="12" t="str">
        <x:v>Yes</x:v>
      </x:c>
      <x:c r="M34" s="12" t="str">
        <x:v>1 week</x:v>
      </x:c>
      <x:c r="N34" s="12" t="str">
        <x:v>Weekly</x:v>
      </x:c>
      <x:c r="O34" s="12" t="str">
        <x:v>Within high-volume/low-open-interest group, long worst prior-week return.</x:v>
      </x:c>
      <x:c r="P34" s="12" t="str">
        <x:v>Short best prior-week return.</x:v>
      </x:c>
      <x:c r="Q34" s="12" t="str">
        <x:v>Weekly rebalance.</x:v>
      </x:c>
      <x:c r="R34" s="12" t="str">
        <x:v>Volume/OI screens; prior-week return</x:v>
      </x:c>
      <x:c r="S34" s="12" t="str">
        <x:v>Futures prices/volume/OI</x:v>
      </x:c>
      <x:c r="T34" s="12" t="str">
        <x:v>Roll and liquidity filters mandatory.</x:v>
      </x:c>
      <x:c r="U34" s="12" t="str">
        <x:v>Crowding, costs, roll effects</x:v>
      </x:c>
      <x:c r="V34" s="12" t="str">
        <x:v>High</x:v>
      </x:c>
      <x:c r="W34" s="12" t="str">
        <x:v>A</x:v>
      </x:c>
      <x:c r="X34" s="12" t="str">
        <x:v>https://www.quantconnect.com/learning/articles/investment-strategy-library</x:v>
      </x:c>
      <x:c r="Y34" s="12" t="str">
        <x:v>2026-10-07</x:v>
      </x:c>
      <x:c r="Z34" s="12" t="str">
        <x:v>Source explicit.</x:v>
      </x:c>
    </x:row>
    <x:row r="35" ht="48" customHeight="1">
      <x:c r="A35" s="12" t="str">
        <x:v>EXT-034</x:v>
      </x:c>
      <x:c r="B35" s="12" t="str">
        <x:v>Momentum Combined with Volume</x:v>
      </x:c>
      <x:c r="C35" s="12" t="str">
        <x:v>Momentum / Volume</x:v>
      </x:c>
      <x:c r="D35" s="12" t="str">
        <x:v>QuantConnect Strategy Library</x:v>
      </x:c>
      <x:c r="E35" s="12" t="str">
        <x:v>Strategy library</x:v>
      </x:c>
      <x:c r="F35" s="12" t="str">
        <x:v>Source summary</x:v>
      </x:c>
      <x:c r="G35" s="14" t="n">
        <x:v>0.9</x:v>
      </x:c>
      <x:c r="H35" s="12" t="str">
        <x:v>Equities</x:v>
      </x:c>
      <x:c r="I35" s="12" t="str">
        <x:v>Broad equities</x:v>
      </x:c>
      <x:c r="J35" s="12" t="str">
        <x:v>Long/Short</x:v>
      </x:c>
      <x:c r="K35" s="12" t="str">
        <x:v>Yes</x:v>
      </x:c>
      <x:c r="L35" s="12" t="str">
        <x:v>Yes</x:v>
      </x:c>
      <x:c r="M35" s="12" t="str">
        <x:v>Months</x:v>
      </x:c>
      <x:c r="N35" s="12" t="str">
        <x:v>Monthly</x:v>
      </x:c>
      <x:c r="O35" s="12" t="str">
        <x:v>Long highest-volume stocks inside top momentum decile.</x:v>
      </x:c>
      <x:c r="P35" s="12" t="str">
        <x:v>Short highest-volume stocks inside bottom momentum decile.</x:v>
      </x:c>
      <x:c r="Q35" s="12" t="str">
        <x:v>Periodic rebalance.</x:v>
      </x:c>
      <x:c r="R35" s="12" t="str">
        <x:v>Momentum rank; volume rank</x:v>
      </x:c>
      <x:c r="S35" s="12" t="str">
        <x:v>Prices + volume</x:v>
      </x:c>
      <x:c r="T35" s="12" t="str">
        <x:v>Define dollar vs share volume.</x:v>
      </x:c>
      <x:c r="U35" s="12" t="str">
        <x:v>Liquidity factor overlap</x:v>
      </x:c>
      <x:c r="V35" s="12" t="str">
        <x:v>High</x:v>
      </x:c>
      <x:c r="W35" s="12" t="str">
        <x:v>A</x:v>
      </x:c>
      <x:c r="X35" s="12" t="str">
        <x:v>https://www.quantconnect.com/learning/articles/investment-strategy-library</x:v>
      </x:c>
      <x:c r="Y35" s="12" t="str">
        <x:v>2026-10-07</x:v>
      </x:c>
      <x:c r="Z35" s="12" t="str">
        <x:v>Source explicit.</x:v>
      </x:c>
    </x:row>
    <x:row r="36" ht="48" customHeight="1">
      <x:c r="A36" s="12" t="str">
        <x:v>EXT-035</x:v>
      </x:c>
      <x:c r="B36" s="12" t="str">
        <x:v>Lunar Cycle in Emerging-Market Equity</x:v>
      </x:c>
      <x:c r="C36" s="12" t="str">
        <x:v>Seasonality / Alternative</x:v>
      </x:c>
      <x:c r="D36" s="12" t="str">
        <x:v>QuantConnect Strategy Library</x:v>
      </x:c>
      <x:c r="E36" s="12" t="str">
        <x:v>Strategy library</x:v>
      </x:c>
      <x:c r="F36" s="12" t="str">
        <x:v>Source summary</x:v>
      </x:c>
      <x:c r="G36" s="14" t="n">
        <x:v>0.9</x:v>
      </x:c>
      <x:c r="H36" s="12" t="str">
        <x:v>ETFs</x:v>
      </x:c>
      <x:c r="I36" s="12" t="str">
        <x:v>Emerging-market index ETF</x:v>
      </x:c>
      <x:c r="J36" s="12" t="str">
        <x:v>Long/Short</x:v>
      </x:c>
      <x:c r="K36" s="12" t="str">
        <x:v>Yes</x:v>
      </x:c>
      <x:c r="L36" s="12" t="str">
        <x:v>Yes</x:v>
      </x:c>
      <x:c r="M36" s="12" t="str">
        <x:v>~2 weeks</x:v>
      </x:c>
      <x:c r="N36" s="12" t="str">
        <x:v>Daily</x:v>
      </x:c>
      <x:c r="O36" s="12" t="str">
        <x:v>Long 7 days before new moon.</x:v>
      </x:c>
      <x:c r="P36" s="12" t="str">
        <x:v>Short 7 days before full moon.</x:v>
      </x:c>
      <x:c r="Q36" s="12" t="str">
        <x:v>Switch at opposite lunar window.</x:v>
      </x:c>
      <x:c r="R36" s="12" t="str">
        <x:v>Lunar calendar; 7-day offset</x:v>
      </x:c>
      <x:c r="S36" s="12" t="str">
        <x:v>Calendar + ETF prices</x:v>
      </x:c>
      <x:c r="T36" s="12" t="str">
        <x:v>Use deterministic astronomical dates.</x:v>
      </x:c>
      <x:c r="U36" s="12" t="str">
        <x:v>Data mining / low economic plausibility</x:v>
      </x:c>
      <x:c r="V36" s="12" t="str">
        <x:v>High</x:v>
      </x:c>
      <x:c r="W36" s="12" t="str">
        <x:v>C</x:v>
      </x:c>
      <x:c r="X36" s="12" t="str">
        <x:v>https://www.quantconnect.com/learning/articles/investment-strategy-library</x:v>
      </x:c>
      <x:c r="Y36" s="12" t="str">
        <x:v>2026-10-07</x:v>
      </x:c>
      <x:c r="Z36" s="12" t="str">
        <x:v>Good falsification candidate.</x:v>
      </x:c>
    </x:row>
    <x:row r="37" ht="48" customHeight="1">
      <x:c r="A37" s="12" t="str">
        <x:v>EXT-036</x:v>
      </x:c>
      <x:c r="B37" s="12" t="str">
        <x:v>ROA Effect within Stocks</x:v>
      </x:c>
      <x:c r="C37" s="12" t="str">
        <x:v>Quality / Profitability</x:v>
      </x:c>
      <x:c r="D37" s="12" t="str">
        <x:v>QuantConnect Strategy Library</x:v>
      </x:c>
      <x:c r="E37" s="12" t="str">
        <x:v>Strategy library</x:v>
      </x:c>
      <x:c r="F37" s="12" t="str">
        <x:v>Source summary</x:v>
      </x:c>
      <x:c r="G37" s="14" t="n">
        <x:v>0.9</x:v>
      </x:c>
      <x:c r="H37" s="12" t="str">
        <x:v>Equities</x:v>
      </x:c>
      <x:c r="I37" s="12" t="str">
        <x:v>Stocks grouped by market cap</x:v>
      </x:c>
      <x:c r="J37" s="12" t="str">
        <x:v>Long/Short</x:v>
      </x:c>
      <x:c r="K37" s="12" t="str">
        <x:v>Yes</x:v>
      </x:c>
      <x:c r="L37" s="12" t="str">
        <x:v>Yes</x:v>
      </x:c>
      <x:c r="M37" s="12" t="str">
        <x:v>Months</x:v>
      </x:c>
      <x:c r="N37" s="12" t="str">
        <x:v>Quarterly</x:v>
      </x:c>
      <x:c r="O37" s="12" t="str">
        <x:v>Long highest ROA names within size groups.</x:v>
      </x:c>
      <x:c r="P37" s="12" t="str">
        <x:v>Short lowest ROA names within size groups.</x:v>
      </x:c>
      <x:c r="Q37" s="12" t="str">
        <x:v>Periodic rebalance.</x:v>
      </x:c>
      <x:c r="R37" s="12" t="str">
        <x:v>ROA definition; size buckets</x:v>
      </x:c>
      <x:c r="S37" s="12" t="str">
        <x:v>Point-in-time fundamentals</x:v>
      </x:c>
      <x:c r="T37" s="12" t="str">
        <x:v>Use filing dates.</x:v>
      </x:c>
      <x:c r="U37" s="12" t="str">
        <x:v>Accounting revisions, sector effects</x:v>
      </x:c>
      <x:c r="V37" s="12" t="str">
        <x:v>High</x:v>
      </x:c>
      <x:c r="W37" s="12" t="str">
        <x:v>A</x:v>
      </x:c>
      <x:c r="X37" s="12" t="str">
        <x:v>https://www.quantconnect.com/learning/articles/investment-strategy-library</x:v>
      </x:c>
      <x:c r="Y37" s="12" t="str">
        <x:v>2026-10-07</x:v>
      </x:c>
      <x:c r="Z37" s="12" t="str">
        <x:v>Source explicit.</x:v>
      </x:c>
    </x:row>
    <x:row r="38" ht="48" customHeight="1">
      <x:c r="A38" s="12" t="str">
        <x:v>EXT-037</x:v>
      </x:c>
      <x:c r="B38" s="12" t="str">
        <x:v>January Barometer</x:v>
      </x:c>
      <x:c r="C38" s="12" t="str">
        <x:v>Seasonality / Regime</x:v>
      </x:c>
      <x:c r="D38" s="12" t="str">
        <x:v>QuantConnect Strategy Library</x:v>
      </x:c>
      <x:c r="E38" s="12" t="str">
        <x:v>Strategy library</x:v>
      </x:c>
      <x:c r="F38" s="12" t="str">
        <x:v>Source summary</x:v>
      </x:c>
      <x:c r="G38" s="14" t="n">
        <x:v>0.9</x:v>
      </x:c>
      <x:c r="H38" s="12" t="str">
        <x:v>Equity ETF + T-Bills</x:v>
      </x:c>
      <x:c r="I38" s="12" t="str">
        <x:v>Broad equity ETF and T-bills</x:v>
      </x:c>
      <x:c r="J38" s="12" t="str">
        <x:v>Long/Cash</x:v>
      </x:c>
      <x:c r="K38" s="12" t="str">
        <x:v>Yes</x:v>
      </x:c>
      <x:c r="L38" s="12" t="str">
        <x:v>Derived short control</x:v>
      </x:c>
      <x:c r="M38" s="12" t="str">
        <x:v>Annual</x:v>
      </x:c>
      <x:c r="N38" s="12" t="str">
        <x:v>Monthly</x:v>
      </x:c>
      <x:c r="O38" s="12" t="str">
        <x:v>If January return positive, hold equity ETF.</x:v>
      </x:c>
      <x:c r="P38" s="12" t="str">
        <x:v>Derived test: short/hedge equity when January negative; source says T-bills.</x:v>
      </x:c>
      <x:c r="Q38" s="12" t="str">
        <x:v>Switch after January signal.</x:v>
      </x:c>
      <x:c r="R38" s="12" t="str">
        <x:v>January return; cash proxy</x:v>
      </x:c>
      <x:c r="S38" s="12" t="str">
        <x:v>ETF + T-bill prices</x:v>
      </x:c>
      <x:c r="T38" s="12" t="str">
        <x:v>Signal only after January close.</x:v>
      </x:c>
      <x:c r="U38" s="12" t="str">
        <x:v>One observation/year, regime instability</x:v>
      </x:c>
      <x:c r="V38" s="12" t="str">
        <x:v>High</x:v>
      </x:c>
      <x:c r="W38" s="12" t="str">
        <x:v>C</x:v>
      </x:c>
      <x:c r="X38" s="12" t="str">
        <x:v>https://www.quantconnect.com/learning/articles/investment-strategy-library</x:v>
      </x:c>
      <x:c r="Y38" s="12" t="str">
        <x:v>2026-10-07</x:v>
      </x:c>
      <x:c r="Z38" s="12" t="str">
        <x:v>Very low trial count; mostly falsification.</x:v>
      </x:c>
    </x:row>
    <x:row r="39" ht="48" customHeight="1">
      <x:c r="A39" s="12" t="str">
        <x:v>EXT-038</x:v>
      </x:c>
      <x:c r="B39" s="12" t="str">
        <x:v>Momentum + Reversal + Volatility</x:v>
      </x:c>
      <x:c r="C39" s="12" t="str">
        <x:v>Momentum / Reversal</x:v>
      </x:c>
      <x:c r="D39" s="12" t="str">
        <x:v>QuantConnect Strategy Library</x:v>
      </x:c>
      <x:c r="E39" s="12" t="str">
        <x:v>Strategy library</x:v>
      </x:c>
      <x:c r="F39" s="12" t="str">
        <x:v>Source summary</x:v>
      </x:c>
      <x:c r="G39" s="14" t="n">
        <x:v>0.9</x:v>
      </x:c>
      <x:c r="H39" s="12" t="str">
        <x:v>Equities</x:v>
      </x:c>
      <x:c r="I39" s="12" t="str">
        <x:v>High-volatility stock subset</x:v>
      </x:c>
      <x:c r="J39" s="12" t="str">
        <x:v>Long/Short</x:v>
      </x:c>
      <x:c r="K39" s="12" t="str">
        <x:v>Yes</x:v>
      </x:c>
      <x:c r="L39" s="12" t="str">
        <x:v>Yes</x:v>
      </x:c>
      <x:c r="M39" s="12" t="str">
        <x:v>Months</x:v>
      </x:c>
      <x:c r="N39" s="12" t="str">
        <x:v>Monthly</x:v>
      </x:c>
      <x:c r="O39" s="12" t="str">
        <x:v>Long highest-performing quintile inside highest-vol group.</x:v>
      </x:c>
      <x:c r="P39" s="12" t="str">
        <x:v>Short lowest-performing quintile inside highest-vol group.</x:v>
      </x:c>
      <x:c r="Q39" s="12" t="str">
        <x:v>Periodic rebalance.</x:v>
      </x:c>
      <x:c r="R39" s="12" t="str">
        <x:v>Vol rank; performance rank</x:v>
      </x:c>
      <x:c r="S39" s="12" t="str">
        <x:v>Prices</x:v>
      </x:c>
      <x:c r="T39" s="12" t="str">
        <x:v>Short borrow on high-vol names can be costly.</x:v>
      </x:c>
      <x:c r="U39" s="12" t="str">
        <x:v>Tail risk, borrow, momentum crashes</x:v>
      </x:c>
      <x:c r="V39" s="12" t="str">
        <x:v>High</x:v>
      </x:c>
      <x:c r="W39" s="12" t="str">
        <x:v>B</x:v>
      </x:c>
      <x:c r="X39" s="12" t="str">
        <x:v>https://www.quantconnect.com/learning/articles/investment-strategy-library</x:v>
      </x:c>
      <x:c r="Y39" s="12" t="str">
        <x:v>2026-10-07</x:v>
      </x:c>
      <x:c r="Z39" s="12" t="str">
        <x:v>Source explicit.</x:v>
      </x:c>
    </x:row>
    <x:row r="40" ht="48" customHeight="1">
      <x:c r="A40" s="12" t="str">
        <x:v>EXT-039</x:v>
      </x:c>
      <x:c r="B40" s="12" t="str">
        <x:v>Pairs Trading: Copula vs Cointegration</x:v>
      </x:c>
      <x:c r="C40" s="12" t="str">
        <x:v>Stat Arb / Pairs</x:v>
      </x:c>
      <x:c r="D40" s="12" t="str">
        <x:v>QuantConnect Strategy Library</x:v>
      </x:c>
      <x:c r="E40" s="12" t="str">
        <x:v>Strategy library</x:v>
      </x:c>
      <x:c r="F40" s="12" t="str">
        <x:v>Source summary</x:v>
      </x:c>
      <x:c r="G40" s="14" t="n">
        <x:v>0.78</x:v>
      </x:c>
      <x:c r="H40" s="12" t="str">
        <x:v>Equities</x:v>
      </x:c>
      <x:c r="I40" s="12" t="str">
        <x:v>Candidate stock pairs</x:v>
      </x:c>
      <x:c r="J40" s="12" t="str">
        <x:v>Market-neutral</x:v>
      </x:c>
      <x:c r="K40" s="12" t="str">
        <x:v>Yes</x:v>
      </x:c>
      <x:c r="L40" s="12" t="str">
        <x:v>Yes</x:v>
      </x:c>
      <x:c r="M40" s="12" t="str">
        <x:v>Days-Weeks</x:v>
      </x:c>
      <x:c r="N40" s="12" t="str">
        <x:v>Daily/Intraday</x:v>
      </x:c>
      <x:c r="O40" s="12" t="str">
        <x:v>Trade relative undervaluation using copula/cointegration dependence.</x:v>
      </x:c>
      <x:c r="P40" s="12" t="str">
        <x:v>Opposite leg simultaneously.</x:v>
      </x:c>
      <x:c r="Q40" s="12" t="str">
        <x:v>Exit on convergence/dependence normalization.</x:v>
      </x:c>
      <x:c r="R40" s="12" t="str">
        <x:v>Copula family; cointegration test; z-score</x:v>
      </x:c>
      <x:c r="S40" s="12" t="str">
        <x:v>Pair prices</x:v>
      </x:c>
      <x:c r="T40" s="12" t="str">
        <x:v>Compare methods under same cost model.</x:v>
      </x:c>
      <x:c r="U40" s="12" t="str">
        <x:v>Model selection bias, relationship breaks</x:v>
      </x:c>
      <x:c r="V40" s="12" t="str">
        <x:v>Medium</x:v>
      </x:c>
      <x:c r="W40" s="12" t="str">
        <x:v>A</x:v>
      </x:c>
      <x:c r="X40" s="12" t="str">
        <x:v>https://www.quantconnect.com/learning/articles/investment-strategy-library</x:v>
      </x:c>
      <x:c r="Y40" s="12" t="str">
        <x:v>2026-10-07</x:v>
      </x:c>
      <x:c r="Z40" s="12" t="str">
        <x:v>Treat copula and cointegration as separate variants later.</x:v>
      </x:c>
    </x:row>
    <x:row r="41" ht="48" customHeight="1">
      <x:c r="A41" s="12" t="str">
        <x:v>EXT-040</x:v>
      </x:c>
      <x:c r="B41" s="12" t="str">
        <x:v>Earnings Quality Factor</x:v>
      </x:c>
      <x:c r="C41" s="12" t="str">
        <x:v>Quality / Fundamental</x:v>
      </x:c>
      <x:c r="D41" s="12" t="str">
        <x:v>QuantConnect Strategy Library</x:v>
      </x:c>
      <x:c r="E41" s="12" t="str">
        <x:v>Strategy library</x:v>
      </x:c>
      <x:c r="F41" s="12" t="str">
        <x:v>Source summary</x:v>
      </x:c>
      <x:c r="G41" s="14" t="n">
        <x:v>0.78</x:v>
      </x:c>
      <x:c r="H41" s="12" t="str">
        <x:v>Equities</x:v>
      </x:c>
      <x:c r="I41" s="12" t="str">
        <x:v>Broad equities</x:v>
      </x:c>
      <x:c r="J41" s="12" t="str">
        <x:v>Long/Short</x:v>
      </x:c>
      <x:c r="K41" s="12" t="str">
        <x:v>Yes</x:v>
      </x:c>
      <x:c r="L41" s="12" t="str">
        <x:v>Yes</x:v>
      </x:c>
      <x:c r="M41" s="12" t="str">
        <x:v>Months</x:v>
      </x:c>
      <x:c r="N41" s="12" t="str">
        <x:v>Quarterly</x:v>
      </x:c>
      <x:c r="O41" s="12" t="str">
        <x:v>Long high composite earnings-quality scores.</x:v>
      </x:c>
      <x:c r="P41" s="12" t="str">
        <x:v>Short low earnings-quality scores.</x:v>
      </x:c>
      <x:c r="Q41" s="12" t="str">
        <x:v>Periodic rebalance.</x:v>
      </x:c>
      <x:c r="R41" s="12" t="str">
        <x:v>Quality components; composite weights</x:v>
      </x:c>
      <x:c r="S41" s="12" t="str">
        <x:v>Point-in-time fundamentals</x:v>
      </x:c>
      <x:c r="T41" s="12" t="str">
        <x:v>Avoid restated future data.</x:v>
      </x:c>
      <x:c r="U41" s="12" t="str">
        <x:v>Accounting definitions, sector bias</x:v>
      </x:c>
      <x:c r="V41" s="12" t="str">
        <x:v>Medium</x:v>
      </x:c>
      <x:c r="W41" s="12" t="str">
        <x:v>A</x:v>
      </x:c>
      <x:c r="X41" s="12" t="str">
        <x:v>https://www.quantconnect.com/learning/articles/investment-strategy-library</x:v>
      </x:c>
      <x:c r="Y41" s="12" t="str">
        <x:v>2026-10-07</x:v>
      </x:c>
      <x:c r="Z41" s="12" t="str">
        <x:v>Source explicit.</x:v>
      </x:c>
    </x:row>
    <x:row r="42" ht="48" customHeight="1">
      <x:c r="A42" s="12" t="str">
        <x:v>EXT-041</x:v>
      </x:c>
      <x:c r="B42" s="12" t="str">
        <x:v>QC 'January Effect in Stocks' Page-Mismatch Candidate</x:v>
      </x:c>
      <x:c r="C42" s="12" t="str">
        <x:v>Manual Review</x:v>
      </x:c>
      <x:c r="D42" s="12" t="str">
        <x:v>QuantConnect Strategy Library</x:v>
      </x:c>
      <x:c r="E42" s="12" t="str">
        <x:v>Strategy library</x:v>
      </x:c>
      <x:c r="F42" s="12" t="str">
        <x:v>Source summary</x:v>
      </x:c>
      <x:c r="G42" s="14" t="n">
        <x:v>0.78</x:v>
      </x:c>
      <x:c r="H42" s="12" t="str">
        <x:v>Multi-Asset</x:v>
      </x:c>
      <x:c r="I42" s="12" t="str">
        <x:v>24 commodity futures; 12 FX crosses; 9 equity indices; 13 bond futures</x:v>
      </x:c>
      <x:c r="J42" s="12" t="str">
        <x:v>Unknown from summary</x:v>
      </x:c>
      <x:c r="K42" s="12" t="str">
        <x:v>Yes</x:v>
      </x:c>
      <x:c r="L42" s="12" t="str">
        <x:v>Yes</x:v>
      </x:c>
      <x:c r="M42" s="12" t="str">
        <x:v>Unknown</x:v>
      </x:c>
      <x:c r="N42" s="12" t="str">
        <x:v>Unknown</x:v>
      </x:c>
      <x:c r="O42" s="12" t="str">
        <x:v>Library description only specifies multi-asset universe; signal not stated.</x:v>
      </x:c>
      <x:c r="P42" s="12" t="str">
        <x:v>Do not invent short rule; inspect article first.</x:v>
      </x:c>
      <x:c r="Q42" s="12" t="str">
        <x:v>Unknown until source inspection.</x:v>
      </x:c>
      <x:c r="R42" s="12" t="str">
        <x:v>Unknown</x:v>
      </x:c>
      <x:c r="S42" s="12" t="str">
        <x:v>Multi-asset prices</x:v>
      </x:c>
      <x:c r="T42" s="12" t="str">
        <x:v>BLOCK implementation until article checked.</x:v>
      </x:c>
      <x:c r="U42" s="12" t="str">
        <x:v>Library title/description mismatch</x:v>
      </x:c>
      <x:c r="V42" s="12" t="str">
        <x:v>Low</x:v>
      </x:c>
      <x:c r="W42" s="12" t="str">
        <x:v>C</x:v>
      </x:c>
      <x:c r="X42" s="12" t="str">
        <x:v>https://www.quantconnect.com/learning/articles/investment-strategy-library</x:v>
      </x:c>
      <x:c r="Y42" s="12" t="str">
        <x:v>2026-10-07</x:v>
      </x:c>
      <x:c r="Z42" s="12" t="str">
        <x:v>Kept only as intake lead, not test-ready.</x:v>
      </x:c>
    </x:row>
    <x:row r="43" ht="48" customHeight="1">
      <x:c r="A43" s="12" t="str">
        <x:v>EXT-042</x:v>
      </x:c>
      <x:c r="B43" s="12" t="str">
        <x:v>WTI-Brent Spread Mean Reversion</x:v>
      </x:c>
      <x:c r="C43" s="12" t="str">
        <x:v>Stat Arb / Commodity Spread</x:v>
      </x:c>
      <x:c r="D43" s="12" t="str">
        <x:v>QuantConnect Strategy Library</x:v>
      </x:c>
      <x:c r="E43" s="12" t="str">
        <x:v>Strategy library</x:v>
      </x:c>
      <x:c r="F43" s="12" t="str">
        <x:v>Source summary</x:v>
      </x:c>
      <x:c r="G43" s="14" t="n">
        <x:v>0.9</x:v>
      </x:c>
      <x:c r="H43" s="12" t="str">
        <x:v>Futures</x:v>
      </x:c>
      <x:c r="I43" s="12" t="str">
        <x:v>WTI and Brent crude</x:v>
      </x:c>
      <x:c r="J43" s="12" t="str">
        <x:v>Spread Long/Short</x:v>
      </x:c>
      <x:c r="K43" s="12" t="str">
        <x:v>Yes</x:v>
      </x:c>
      <x:c r="L43" s="12" t="str">
        <x:v>Yes</x:v>
      </x:c>
      <x:c r="M43" s="12" t="str">
        <x:v>Days-Weeks</x:v>
      </x:c>
      <x:c r="N43" s="12" t="str">
        <x:v>Daily</x:v>
      </x:c>
      <x:c r="O43" s="12" t="str">
        <x:v>Long WTI-Brent spread when spread below its 20-day MA.</x:v>
      </x:c>
      <x:c r="P43" s="12" t="str">
        <x:v>Short spread when above its 20-day MA.</x:v>
      </x:c>
      <x:c r="Q43" s="12" t="str">
        <x:v>Exit on mean cross/reversion.</x:v>
      </x:c>
      <x:c r="R43" s="12" t="str">
        <x:v>20-day spread MA; hedge ratio</x:v>
      </x:c>
      <x:c r="S43" s="12" t="str">
        <x:v>WTI + Brent futures</x:v>
      </x:c>
      <x:c r="T43" s="12" t="str">
        <x:v>Specify contract matching and rolls.</x:v>
      </x:c>
      <x:c r="U43" s="12" t="str">
        <x:v>Structural spread shifts, roll mismatches</x:v>
      </x:c>
      <x:c r="V43" s="12" t="str">
        <x:v>High</x:v>
      </x:c>
      <x:c r="W43" s="12" t="str">
        <x:v>A</x:v>
      </x:c>
      <x:c r="X43" s="12" t="str">
        <x:v>https://www.quantconnect.com/learning/articles/investment-strategy-library</x:v>
      </x:c>
      <x:c r="Y43" s="12" t="str">
        <x:v>2026-10-07</x:v>
      </x:c>
      <x:c r="Z43" s="12" t="str">
        <x:v>Source explicit.</x:v>
      </x:c>
    </x:row>
    <x:row r="44" ht="48" customHeight="1">
      <x:c r="A44" s="12" t="str">
        <x:v>EXT-043</x:v>
      </x:c>
      <x:c r="B44" s="12" t="str">
        <x:v>Momentum in REITs</x:v>
      </x:c>
      <x:c r="C44" s="12" t="str">
        <x:v>Momentum / Cross-Sectional</x:v>
      </x:c>
      <x:c r="D44" s="12" t="str">
        <x:v>QuantConnect Strategy Library</x:v>
      </x:c>
      <x:c r="E44" s="12" t="str">
        <x:v>Strategy library</x:v>
      </x:c>
      <x:c r="F44" s="12" t="str">
        <x:v>Source summary</x:v>
      </x:c>
      <x:c r="G44" s="14" t="n">
        <x:v>0.9</x:v>
      </x:c>
      <x:c r="H44" s="12" t="str">
        <x:v>REITs</x:v>
      </x:c>
      <x:c r="I44" s="12" t="str">
        <x:v>REIT universe</x:v>
      </x:c>
      <x:c r="J44" s="12" t="str">
        <x:v>Long source-native</x:v>
      </x:c>
      <x:c r="K44" s="12" t="str">
        <x:v>Yes</x:v>
      </x:c>
      <x:c r="L44" s="12" t="str">
        <x:v>Derived mirror</x:v>
      </x:c>
      <x:c r="M44" s="12" t="str">
        <x:v>Months</x:v>
      </x:c>
      <x:c r="N44" s="12" t="str">
        <x:v>Monthly</x:v>
      </x:c>
      <x:c r="O44" s="12" t="str">
        <x:v>Form momentum terciles and hold best-performing tercile.</x:v>
      </x:c>
      <x:c r="P44" s="12" t="str">
        <x:v>Derived: short worst tercile.</x:v>
      </x:c>
      <x:c r="Q44" s="12" t="str">
        <x:v>Periodic rebalance.</x:v>
      </x:c>
      <x:c r="R44" s="12" t="str">
        <x:v>Momentum lookback; terciles</x:v>
      </x:c>
      <x:c r="S44" s="12" t="str">
        <x:v>REIT prices</x:v>
      </x:c>
      <x:c r="T44" s="12" t="str">
        <x:v>Dividend-adjusted returns.</x:v>
      </x:c>
      <x:c r="U44" s="12" t="str">
        <x:v>Rate sensitivity, concentration</x:v>
      </x:c>
      <x:c r="V44" s="12" t="str">
        <x:v>High</x:v>
      </x:c>
      <x:c r="W44" s="12" t="str">
        <x:v>B</x:v>
      </x:c>
      <x:c r="X44" s="12" t="str">
        <x:v>https://www.quantconnect.com/learning/articles/investment-strategy-library</x:v>
      </x:c>
      <x:c r="Y44" s="12" t="str">
        <x:v>2026-10-07</x:v>
      </x:c>
      <x:c r="Z44" s="12" t="str">
        <x:v>Source only says hold best tercile.</x:v>
      </x:c>
    </x:row>
    <x:row r="45" ht="48" customHeight="1">
      <x:c r="A45" s="12" t="str">
        <x:v>EXT-044</x:v>
      </x:c>
      <x:c r="B45" s="12" t="str">
        <x:v>Option Expiration Week Effect</x:v>
      </x:c>
      <x:c r="C45" s="12" t="str">
        <x:v>Seasonality / Options Calendar</x:v>
      </x:c>
      <x:c r="D45" s="12" t="str">
        <x:v>QuantConnect Strategy Library</x:v>
      </x:c>
      <x:c r="E45" s="12" t="str">
        <x:v>Strategy library</x:v>
      </x:c>
      <x:c r="F45" s="12" t="str">
        <x:v>Source summary</x:v>
      </x:c>
      <x:c r="G45" s="14" t="n">
        <x:v>0.9</x:v>
      </x:c>
      <x:c r="H45" s="12" t="str">
        <x:v>Equity ETF</x:v>
      </x:c>
      <x:c r="I45" s="12" t="str">
        <x:v>S&amp;P 100 index ETF</x:v>
      </x:c>
      <x:c r="J45" s="12" t="str">
        <x:v>Long source-native</x:v>
      </x:c>
      <x:c r="K45" s="12" t="str">
        <x:v>Yes</x:v>
      </x:c>
      <x:c r="L45" s="12" t="str">
        <x:v>Derived short control</x:v>
      </x:c>
      <x:c r="M45" s="12" t="str">
        <x:v>1 week/month</x:v>
      </x:c>
      <x:c r="N45" s="12" t="str">
        <x:v>Daily</x:v>
      </x:c>
      <x:c r="O45" s="12" t="str">
        <x:v>Long during option-expiration week.</x:v>
      </x:c>
      <x:c r="P45" s="12" t="str">
        <x:v>Derived negative-control short during same window.</x:v>
      </x:c>
      <x:c r="Q45" s="12" t="str">
        <x:v>Exit after expiration week.</x:v>
      </x:c>
      <x:c r="R45" s="12" t="str">
        <x:v>Expiration calendar</x:v>
      </x:c>
      <x:c r="S45" s="12" t="str">
        <x:v>ETF prices + calendar</x:v>
      </x:c>
      <x:c r="T45" s="12" t="str">
        <x:v>Define standard monthly expiry precisely.</x:v>
      </x:c>
      <x:c r="U45" s="12" t="str">
        <x:v>Small sample, holiday shifts</x:v>
      </x:c>
      <x:c r="V45" s="12" t="str">
        <x:v>High</x:v>
      </x:c>
      <x:c r="W45" s="12" t="str">
        <x:v>B</x:v>
      </x:c>
      <x:c r="X45" s="12" t="str">
        <x:v>https://www.quantconnect.com/learning/articles/investment-strategy-library</x:v>
      </x:c>
      <x:c r="Y45" s="12" t="str">
        <x:v>2026-10-07</x:v>
      </x:c>
      <x:c r="Z45" s="12" t="str">
        <x:v>Calendar effect.</x:v>
      </x:c>
    </x:row>
    <x:row r="46" ht="48" customHeight="1">
      <x:c r="A46" s="12" t="str">
        <x:v>EXT-045</x:v>
      </x:c>
      <x:c r="B46" s="12" t="str">
        <x:v>Momentum + Style Rotation</x:v>
      </x:c>
      <x:c r="C46" s="12" t="str">
        <x:v>Momentum / Rotation</x:v>
      </x:c>
      <x:c r="D46" s="12" t="str">
        <x:v>QuantConnect Strategy Library</x:v>
      </x:c>
      <x:c r="E46" s="12" t="str">
        <x:v>Strategy library</x:v>
      </x:c>
      <x:c r="F46" s="12" t="str">
        <x:v>Source summary</x:v>
      </x:c>
      <x:c r="G46" s="14" t="n">
        <x:v>0.9</x:v>
      </x:c>
      <x:c r="H46" s="12" t="str">
        <x:v>Style ETFs</x:v>
      </x:c>
      <x:c r="I46" s="12" t="str">
        <x:v>Growth/value/style ETFs</x:v>
      </x:c>
      <x:c r="J46" s="12" t="str">
        <x:v>Long/Short</x:v>
      </x:c>
      <x:c r="K46" s="12" t="str">
        <x:v>Yes</x:v>
      </x:c>
      <x:c r="L46" s="12" t="str">
        <x:v>Yes</x:v>
      </x:c>
      <x:c r="M46" s="12" t="str">
        <x:v>Months</x:v>
      </x:c>
      <x:c r="N46" s="12" t="str">
        <x:v>Monthly</x:v>
      </x:c>
      <x:c r="O46" s="12" t="str">
        <x:v>Long style ETF with highest 12m momentum.</x:v>
      </x:c>
      <x:c r="P46" s="12" t="str">
        <x:v>Short style ETF with lowest 12m momentum.</x:v>
      </x:c>
      <x:c r="Q46" s="12" t="str">
        <x:v>Periodic rebalance.</x:v>
      </x:c>
      <x:c r="R46" s="12" t="str">
        <x:v>12m total return</x:v>
      </x:c>
      <x:c r="S46" s="12" t="str">
        <x:v>ETF prices</x:v>
      </x:c>
      <x:c r="T46" s="12" t="str">
        <x:v>Include dividends.</x:v>
      </x:c>
      <x:c r="U46" s="12" t="str">
        <x:v>Concentration, regime dependence</x:v>
      </x:c>
      <x:c r="V46" s="12" t="str">
        <x:v>High</x:v>
      </x:c>
      <x:c r="W46" s="12" t="str">
        <x:v>A</x:v>
      </x:c>
      <x:c r="X46" s="12" t="str">
        <x:v>https://www.quantconnect.com/learning/articles/investment-strategy-library</x:v>
      </x:c>
      <x:c r="Y46" s="12" t="str">
        <x:v>2026-10-07</x:v>
      </x:c>
      <x:c r="Z46" s="12" t="str">
        <x:v>Source explicit.</x:v>
      </x:c>
    </x:row>
    <x:row r="47" ht="48" customHeight="1">
      <x:c r="A47" s="12" t="str">
        <x:v>EXT-046</x:v>
      </x:c>
      <x:c r="B47" s="12" t="str">
        <x:v>Momentum with Market-State Filter</x:v>
      </x:c>
      <x:c r="C47" s="12" t="str">
        <x:v>Momentum / Regime</x:v>
      </x:c>
      <x:c r="D47" s="12" t="str">
        <x:v>QuantConnect Strategy Library</x:v>
      </x:c>
      <x:c r="E47" s="12" t="str">
        <x:v>Strategy library</x:v>
      </x:c>
      <x:c r="F47" s="12" t="str">
        <x:v>Source summary</x:v>
      </x:c>
      <x:c r="G47" s="14" t="n">
        <x:v>0.9</x:v>
      </x:c>
      <x:c r="H47" s="12" t="str">
        <x:v>Equities</x:v>
      </x:c>
      <x:c r="I47" s="12" t="str">
        <x:v>Broad stocks + market index</x:v>
      </x:c>
      <x:c r="J47" s="12" t="str">
        <x:v>Long/Short conditional</x:v>
      </x:c>
      <x:c r="K47" s="12" t="str">
        <x:v>Yes</x:v>
      </x:c>
      <x:c r="L47" s="12" t="str">
        <x:v>Yes</x:v>
      </x:c>
      <x:c r="M47" s="12" t="str">
        <x:v>Months</x:v>
      </x:c>
      <x:c r="N47" s="12" t="str">
        <x:v>Monthly</x:v>
      </x:c>
      <x:c r="O47" s="12" t="str">
        <x:v>If broad market prior 12m positive, long highest 6m momentum stocks.</x:v>
      </x:c>
      <x:c r="P47" s="12" t="str">
        <x:v>Same regime: short lowest 6m momentum stocks.</x:v>
      </x:c>
      <x:c r="Q47" s="12" t="str">
        <x:v>Rebalance; flat when market-state condition fails.</x:v>
      </x:c>
      <x:c r="R47" s="12" t="str">
        <x:v>6m stock momentum; 12m index return</x:v>
      </x:c>
      <x:c r="S47" s="12" t="str">
        <x:v>Prices</x:v>
      </x:c>
      <x:c r="T47" s="12" t="str">
        <x:v>Define whether to skip most recent month separately.</x:v>
      </x:c>
      <x:c r="U47" s="12" t="str">
        <x:v>Momentum crashes, filter overfit</x:v>
      </x:c>
      <x:c r="V47" s="12" t="str">
        <x:v>High</x:v>
      </x:c>
      <x:c r="W47" s="12" t="str">
        <x:v>A</x:v>
      </x:c>
      <x:c r="X47" s="12" t="str">
        <x:v>https://www.quantconnect.com/learning/articles/investment-strategy-library</x:v>
      </x:c>
      <x:c r="Y47" s="12" t="str">
        <x:v>2026-10-07</x:v>
      </x:c>
      <x:c r="Z47" s="12" t="str">
        <x:v>Source explicit.</x:v>
      </x:c>
    </x:row>
    <x:row r="48" ht="48" customHeight="1">
      <x:c r="A48" s="12" t="str">
        <x:v>EXT-047</x:v>
      </x:c>
      <x:c r="B48" s="12" t="str">
        <x:v>Pairs Trading with Country ETFs</x:v>
      </x:c>
      <x:c r="C48" s="12" t="str">
        <x:v>Stat Arb / Pairs</x:v>
      </x:c>
      <x:c r="D48" s="12" t="str">
        <x:v>QuantConnect Strategy Library</x:v>
      </x:c>
      <x:c r="E48" s="12" t="str">
        <x:v>Strategy library</x:v>
      </x:c>
      <x:c r="F48" s="12" t="str">
        <x:v>Source summary</x:v>
      </x:c>
      <x:c r="G48" s="14" t="n">
        <x:v>0.9</x:v>
      </x:c>
      <x:c r="H48" s="12" t="str">
        <x:v>Country ETFs</x:v>
      </x:c>
      <x:c r="I48" s="12" t="str">
        <x:v>Highly correlated country ETFs</x:v>
      </x:c>
      <x:c r="J48" s="12" t="str">
        <x:v>Market-neutral</x:v>
      </x:c>
      <x:c r="K48" s="12" t="str">
        <x:v>Yes</x:v>
      </x:c>
      <x:c r="L48" s="12" t="str">
        <x:v>Yes</x:v>
      </x:c>
      <x:c r="M48" s="12" t="str">
        <x:v>Days-Weeks</x:v>
      </x:c>
      <x:c r="N48" s="12" t="str">
        <x:v>Daily</x:v>
      </x:c>
      <x:c r="O48" s="12" t="str">
        <x:v>Long lagging/undervalued country ETF on divergence.</x:v>
      </x:c>
      <x:c r="P48" s="12" t="str">
        <x:v>Short leading/overvalued paired ETF.</x:v>
      </x:c>
      <x:c r="Q48" s="12" t="str">
        <x:v>Exit on convergence.</x:v>
      </x:c>
      <x:c r="R48" s="12" t="str">
        <x:v>Correlation/pair selection; divergence threshold</x:v>
      </x:c>
      <x:c r="S48" s="12" t="str">
        <x:v>ETF prices</x:v>
      </x:c>
      <x:c r="T48" s="12" t="str">
        <x:v>FX exposure is embedded in ETFs.</x:v>
      </x:c>
      <x:c r="U48" s="12" t="str">
        <x:v>Regime breaks, country shocks</x:v>
      </x:c>
      <x:c r="V48" s="12" t="str">
        <x:v>High</x:v>
      </x:c>
      <x:c r="W48" s="12" t="str">
        <x:v>A</x:v>
      </x:c>
      <x:c r="X48" s="12" t="str">
        <x:v>https://www.quantconnect.com/learning/articles/investment-strategy-library</x:v>
      </x:c>
      <x:c r="Y48" s="12" t="str">
        <x:v>2026-10-07</x:v>
      </x:c>
      <x:c r="Z48" s="12" t="str">
        <x:v>Source explicit.</x:v>
      </x:c>
    </x:row>
    <x:row r="49" ht="48" customHeight="1">
      <x:c r="A49" s="12" t="str">
        <x:v>EXT-048</x:v>
      </x:c>
      <x:c r="B49" s="12" t="str">
        <x:v>Asset Growth Effect</x:v>
      </x:c>
      <x:c r="C49" s="12" t="str">
        <x:v>Factor / Investment</x:v>
      </x:c>
      <x:c r="D49" s="12" t="str">
        <x:v>QuantConnect Strategy Library</x:v>
      </x:c>
      <x:c r="E49" s="12" t="str">
        <x:v>Strategy library</x:v>
      </x:c>
      <x:c r="F49" s="12" t="str">
        <x:v>Source summary</x:v>
      </x:c>
      <x:c r="G49" s="14" t="n">
        <x:v>0.9</x:v>
      </x:c>
      <x:c r="H49" s="12" t="str">
        <x:v>Equities</x:v>
      </x:c>
      <x:c r="I49" s="12" t="str">
        <x:v>Broad equities</x:v>
      </x:c>
      <x:c r="J49" s="12" t="str">
        <x:v>Long/Short</x:v>
      </x:c>
      <x:c r="K49" s="12" t="str">
        <x:v>Yes</x:v>
      </x:c>
      <x:c r="L49" s="12" t="str">
        <x:v>Yes</x:v>
      </x:c>
      <x:c r="M49" s="12" t="str">
        <x:v>Yearly/Monthly</x:v>
      </x:c>
      <x:c r="N49" s="12" t="str">
        <x:v>Annual</x:v>
      </x:c>
      <x:c r="O49" s="12" t="str">
        <x:v>Long low/negative asset-growth stocks.</x:v>
      </x:c>
      <x:c r="P49" s="12" t="str">
        <x:v>Short high asset-growth stocks.</x:v>
      </x:c>
      <x:c r="Q49" s="12" t="str">
        <x:v>Annual/periodic rebalance.</x:v>
      </x:c>
      <x:c r="R49" s="12" t="str">
        <x:v>Annual total-asset change; rank</x:v>
      </x:c>
      <x:c r="S49" s="12" t="str">
        <x:v>Point-in-time fundamentals</x:v>
      </x:c>
      <x:c r="T49" s="12" t="str">
        <x:v>Use report availability dates.</x:v>
      </x:c>
      <x:c r="U49" s="12" t="str">
        <x:v>Accounting restatements, industry bias</x:v>
      </x:c>
      <x:c r="V49" s="12" t="str">
        <x:v>High</x:v>
      </x:c>
      <x:c r="W49" s="12" t="str">
        <x:v>A</x:v>
      </x:c>
      <x:c r="X49" s="12" t="str">
        <x:v>https://www.quantconnect.com/learning/articles/investment-strategy-library</x:v>
      </x:c>
      <x:c r="Y49" s="12" t="str">
        <x:v>2026-10-07</x:v>
      </x:c>
      <x:c r="Z49" s="12" t="str">
        <x:v>Direction inferred from standard anomaly; verify article exact breakpoints.</x:v>
      </x:c>
    </x:row>
    <x:row r="50" ht="48" customHeight="1">
      <x:c r="A50" s="12" t="str">
        <x:v>EXT-049</x:v>
      </x:c>
      <x:c r="B50" s="12" t="str">
        <x:v>Accrual Anomaly</x:v>
      </x:c>
      <x:c r="C50" s="12" t="str">
        <x:v>Factor / Accounting</x:v>
      </x:c>
      <x:c r="D50" s="12" t="str">
        <x:v>QuantConnect Strategy Library</x:v>
      </x:c>
      <x:c r="E50" s="12" t="str">
        <x:v>Strategy library</x:v>
      </x:c>
      <x:c r="F50" s="12" t="str">
        <x:v>Source summary</x:v>
      </x:c>
      <x:c r="G50" s="14" t="n">
        <x:v>0.9</x:v>
      </x:c>
      <x:c r="H50" s="12" t="str">
        <x:v>Equities</x:v>
      </x:c>
      <x:c r="I50" s="12" t="str">
        <x:v>Broad equities</x:v>
      </x:c>
      <x:c r="J50" s="12" t="str">
        <x:v>Long/Short</x:v>
      </x:c>
      <x:c r="K50" s="12" t="str">
        <x:v>Yes</x:v>
      </x:c>
      <x:c r="L50" s="12" t="str">
        <x:v>Yes</x:v>
      </x:c>
      <x:c r="M50" s="12" t="str">
        <x:v>Yearly</x:v>
      </x:c>
      <x:c r="N50" s="12" t="str">
        <x:v>Annual</x:v>
      </x:c>
      <x:c r="O50" s="12" t="str">
        <x:v>Long lowest-accrual decile.</x:v>
      </x:c>
      <x:c r="P50" s="12" t="str">
        <x:v>Short highest-accrual decile.</x:v>
      </x:c>
      <x:c r="Q50" s="12" t="str">
        <x:v>Hold one year / annual rebalance.</x:v>
      </x:c>
      <x:c r="R50" s="12" t="str">
        <x:v>Balance-sheet accrual definition; deciles</x:v>
      </x:c>
      <x:c r="S50" s="12" t="str">
        <x:v>Point-in-time fundamentals</x:v>
      </x:c>
      <x:c r="T50" s="12" t="str">
        <x:v>Use original filings.</x:v>
      </x:c>
      <x:c r="U50" s="12" t="str">
        <x:v>Accounting quality, sector effects</x:v>
      </x:c>
      <x:c r="V50" s="12" t="str">
        <x:v>High</x:v>
      </x:c>
      <x:c r="W50" s="12" t="str">
        <x:v>A</x:v>
      </x:c>
      <x:c r="X50" s="12" t="str">
        <x:v>https://www.quantconnect.com/learning/articles/investment-strategy-library</x:v>
      </x:c>
      <x:c r="Y50" s="12" t="str">
        <x:v>2026-10-07</x:v>
      </x:c>
      <x:c r="Z50" s="12" t="str">
        <x:v>Source explicit.</x:v>
      </x:c>
    </x:row>
    <x:row r="51" ht="48" customHeight="1">
      <x:c r="A51" s="12" t="str">
        <x:v>EXT-050</x:v>
      </x:c>
      <x:c r="B51" s="12" t="str">
        <x:v>Sentiment + Style Rotation</x:v>
      </x:c>
      <x:c r="C51" s="12" t="str">
        <x:v>Sentiment / Rotation</x:v>
      </x:c>
      <x:c r="D51" s="12" t="str">
        <x:v>QuantConnect Strategy Library</x:v>
      </x:c>
      <x:c r="E51" s="12" t="str">
        <x:v>Strategy library</x:v>
      </x:c>
      <x:c r="F51" s="12" t="str">
        <x:v>Source summary</x:v>
      </x:c>
      <x:c r="G51" s="14" t="n">
        <x:v>0.78</x:v>
      </x:c>
      <x:c r="H51" s="12" t="str">
        <x:v>Style ETFs/Equities</x:v>
      </x:c>
      <x:c r="I51" s="12" t="str">
        <x:v>Growth and value styles</x:v>
      </x:c>
      <x:c r="J51" s="12" t="str">
        <x:v>Long/Short</x:v>
      </x:c>
      <x:c r="K51" s="12" t="str">
        <x:v>Yes</x:v>
      </x:c>
      <x:c r="L51" s="12" t="str">
        <x:v>Yes</x:v>
      </x:c>
      <x:c r="M51" s="12" t="str">
        <x:v>Months</x:v>
      </x:c>
      <x:c r="N51" s="12" t="str">
        <x:v>Monthly</x:v>
      </x:c>
      <x:c r="O51" s="12" t="str">
        <x:v>Go long style favored by sentiment regime.</x:v>
      </x:c>
      <x:c r="P51" s="12" t="str">
        <x:v>Short opposing style.</x:v>
      </x:c>
      <x:c r="Q51" s="12" t="str">
        <x:v>Rebalance when sentiment regime changes.</x:v>
      </x:c>
      <x:c r="R51" s="12" t="str">
        <x:v>Sentiment measure; style definitions</x:v>
      </x:c>
      <x:c r="S51" s="12" t="str">
        <x:v>Sentiment series + prices</x:v>
      </x:c>
      <x:c r="T51" s="12" t="str">
        <x:v>Source sentiment series must be timestamped.</x:v>
      </x:c>
      <x:c r="U51" s="12" t="str">
        <x:v>Sentiment revisions, regime instability</x:v>
      </x:c>
      <x:c r="V51" s="12" t="str">
        <x:v>Medium</x:v>
      </x:c>
      <x:c r="W51" s="12" t="str">
        <x:v>B</x:v>
      </x:c>
      <x:c r="X51" s="12" t="str">
        <x:v>https://www.quantconnect.com/learning/articles/investment-strategy-library</x:v>
      </x:c>
      <x:c r="Y51" s="12" t="str">
        <x:v>2026-10-07</x:v>
      </x:c>
      <x:c r="Z51" s="12" t="str">
        <x:v>High-level source summary.</x:v>
      </x:c>
    </x:row>
    <x:row r="52" ht="48" customHeight="1">
      <x:c r="A52" s="12" t="str">
        <x:v>EXT-051</x:v>
      </x:c>
      <x:c r="B52" s="12" t="str">
        <x:v>Turn-of-the-Month SPY</x:v>
      </x:c>
      <x:c r="C52" s="12" t="str">
        <x:v>Seasonality</x:v>
      </x:c>
      <x:c r="D52" s="12" t="str">
        <x:v>QuantConnect Strategy Library</x:v>
      </x:c>
      <x:c r="E52" s="12" t="str">
        <x:v>Strategy library</x:v>
      </x:c>
      <x:c r="F52" s="12" t="str">
        <x:v>Source summary</x:v>
      </x:c>
      <x:c r="G52" s="14" t="n">
        <x:v>0.9</x:v>
      </x:c>
      <x:c r="H52" s="12" t="str">
        <x:v>ETF</x:v>
      </x:c>
      <x:c r="I52" s="12" t="str">
        <x:v>SPY / broad-equity proxy</x:v>
      </x:c>
      <x:c r="J52" s="12" t="str">
        <x:v>Long source-native</x:v>
      </x:c>
      <x:c r="K52" s="12" t="str">
        <x:v>Yes</x:v>
      </x:c>
      <x:c r="L52" s="12" t="str">
        <x:v>Derived short control</x:v>
      </x:c>
      <x:c r="M52" s="12" t="str">
        <x:v>~4 trading days/month</x:v>
      </x:c>
      <x:c r="N52" s="12" t="str">
        <x:v>Daily</x:v>
      </x:c>
      <x:c r="O52" s="12" t="str">
        <x:v>Buy day before month-end.</x:v>
      </x:c>
      <x:c r="P52" s="12" t="str">
        <x:v>Derived negative-control short same window.</x:v>
      </x:c>
      <x:c r="Q52" s="12" t="str">
        <x:v>Exit on third trading day of new month.</x:v>
      </x:c>
      <x:c r="R52" s="12" t="str">
        <x:v>Exchange calendar</x:v>
      </x:c>
      <x:c r="S52" s="12" t="str">
        <x:v>Daily prices</x:v>
      </x:c>
      <x:c r="T52" s="12" t="str">
        <x:v>Close/open execution must be causal.</x:v>
      </x:c>
      <x:c r="U52" s="12" t="str">
        <x:v>Calendar crowding, close/open slippage</x:v>
      </x:c>
      <x:c r="V52" s="12" t="str">
        <x:v>High</x:v>
      </x:c>
      <x:c r="W52" s="12" t="str">
        <x:v>A</x:v>
      </x:c>
      <x:c r="X52" s="12" t="str">
        <x:v>https://www.quantconnect.com/learning/articles/investment-strategy-library</x:v>
      </x:c>
      <x:c r="Y52" s="12" t="str">
        <x:v>2026-10-07</x:v>
      </x:c>
      <x:c r="Z52" s="12" t="str">
        <x:v>Source explicit.</x:v>
      </x:c>
    </x:row>
    <x:row r="53" ht="48" customHeight="1">
      <x:c r="A53" s="12" t="str">
        <x:v>EXT-052</x:v>
      </x:c>
      <x:c r="B53" s="12" t="str">
        <x:v>Momentum - Short-Term Reversal Hybrid</x:v>
      </x:c>
      <x:c r="C53" s="12" t="str">
        <x:v>Momentum / Reversal</x:v>
      </x:c>
      <x:c r="D53" s="12" t="str">
        <x:v>QuantConnect Strategy Library</x:v>
      </x:c>
      <x:c r="E53" s="12" t="str">
        <x:v>Strategy library</x:v>
      </x:c>
      <x:c r="F53" s="12" t="str">
        <x:v>Source summary</x:v>
      </x:c>
      <x:c r="G53" s="14" t="n">
        <x:v>0.78</x:v>
      </x:c>
      <x:c r="H53" s="12" t="str">
        <x:v>Equities</x:v>
      </x:c>
      <x:c r="I53" s="12" t="str">
        <x:v>Broad stocks</x:v>
      </x:c>
      <x:c r="J53" s="12" t="str">
        <x:v>Long/Short</x:v>
      </x:c>
      <x:c r="K53" s="12" t="str">
        <x:v>Yes</x:v>
      </x:c>
      <x:c r="L53" s="12" t="str">
        <x:v>Yes</x:v>
      </x:c>
      <x:c r="M53" s="12" t="str">
        <x:v>Months</x:v>
      </x:c>
      <x:c r="N53" s="12" t="str">
        <x:v>Monthly</x:v>
      </x:c>
      <x:c r="O53" s="12" t="str">
        <x:v>Long decelerating members of winner group.</x:v>
      </x:c>
      <x:c r="P53" s="12" t="str">
        <x:v>Short accelerating members of loser group.</x:v>
      </x:c>
      <x:c r="Q53" s="12" t="str">
        <x:v>Periodic rebalance.</x:v>
      </x:c>
      <x:c r="R53" s="12" t="str">
        <x:v>Long-term winner/loser groups; short-term change</x:v>
      </x:c>
      <x:c r="S53" s="12" t="str">
        <x:v>Prices</x:v>
      </x:c>
      <x:c r="T53" s="12" t="str">
        <x:v>Exact source formula needs article inspection.</x:v>
      </x:c>
      <x:c r="U53" s="12" t="str">
        <x:v>Ambiguous formulation, multiple testing</x:v>
      </x:c>
      <x:c r="V53" s="12" t="str">
        <x:v>Medium</x:v>
      </x:c>
      <x:c r="W53" s="12" t="str">
        <x:v>B</x:v>
      </x:c>
      <x:c r="X53" s="12" t="str">
        <x:v>https://www.quantconnect.com/learning/articles/investment-strategy-library</x:v>
      </x:c>
      <x:c r="Y53" s="12" t="str">
        <x:v>2026-10-07</x:v>
      </x:c>
      <x:c r="Z53" s="12" t="str">
        <x:v>Library summary is concise; inspect before exact implementation.</x:v>
      </x:c>
    </x:row>
    <x:row r="54" ht="48" customHeight="1">
      <x:c r="A54" s="12" t="str">
        <x:v>EXT-053</x:v>
      </x:c>
      <x:c r="B54" s="12" t="str">
        <x:v>Paired Switching</x:v>
      </x:c>
      <x:c r="C54" s="12" t="str">
        <x:v>Momentum / Rotation</x:v>
      </x:c>
      <x:c r="D54" s="12" t="str">
        <x:v>QuantConnect Strategy Library</x:v>
      </x:c>
      <x:c r="E54" s="12" t="str">
        <x:v>Strategy library</x:v>
      </x:c>
      <x:c r="F54" s="12" t="str">
        <x:v>Source summary</x:v>
      </x:c>
      <x:c r="G54" s="14" t="n">
        <x:v>0.9</x:v>
      </x:c>
      <x:c r="H54" s="12" t="str">
        <x:v>Cross-Asset</x:v>
      </x:c>
      <x:c r="I54" s="12" t="str">
        <x:v>Two-asset pairs</x:v>
      </x:c>
      <x:c r="J54" s="12" t="str">
        <x:v>Long rotation</x:v>
      </x:c>
      <x:c r="K54" s="12" t="str">
        <x:v>Yes</x:v>
      </x:c>
      <x:c r="L54" s="12" t="str">
        <x:v>Derived short/relative</x:v>
      </x:c>
      <x:c r="M54" s="12" t="str">
        <x:v>Quarterly</x:v>
      </x:c>
      <x:c r="N54" s="12" t="str">
        <x:v>Quarterly</x:v>
      </x:c>
      <x:c r="O54" s="12" t="str">
        <x:v>Hold better-performing asset over prior period.</x:v>
      </x:c>
      <x:c r="P54" s="12" t="str">
        <x:v>Derived relative-value variant: long winner / short loser.</x:v>
      </x:c>
      <x:c r="Q54" s="12" t="str">
        <x:v>Quarterly rebalance.</x:v>
      </x:c>
      <x:c r="R54" s="12" t="str">
        <x:v>Lookback period; pair definitions</x:v>
      </x:c>
      <x:c r="S54" s="12" t="str">
        <x:v>Asset prices</x:v>
      </x:c>
      <x:c r="T54" s="12" t="str">
        <x:v>Total-return data preferred.</x:v>
      </x:c>
      <x:c r="U54" s="12" t="str">
        <x:v>Whipsaw, pair selection</x:v>
      </x:c>
      <x:c r="V54" s="12" t="str">
        <x:v>High</x:v>
      </x:c>
      <x:c r="W54" s="12" t="str">
        <x:v>B</x:v>
      </x:c>
      <x:c r="X54" s="12" t="str">
        <x:v>https://www.quantconnect.com/learning/articles/investment-strategy-library</x:v>
      </x:c>
      <x:c r="Y54" s="12" t="str">
        <x:v>2026-10-07</x:v>
      </x:c>
      <x:c r="Z54" s="12" t="str">
        <x:v>Source long one asset; long-short is derived.</x:v>
      </x:c>
    </x:row>
    <x:row r="55" ht="48" customHeight="1">
      <x:c r="A55" s="12" t="str">
        <x:v>EXT-054</x:v>
      </x:c>
      <x:c r="B55" s="12" t="str">
        <x:v>Commodity Momentum + Term Structure</x:v>
      </x:c>
      <x:c r="C55" s="12" t="str">
        <x:v>Momentum / Carry</x:v>
      </x:c>
      <x:c r="D55" s="12" t="str">
        <x:v>QuantConnect Strategy Library</x:v>
      </x:c>
      <x:c r="E55" s="12" t="str">
        <x:v>Strategy library</x:v>
      </x:c>
      <x:c r="F55" s="12" t="str">
        <x:v>Source summary</x:v>
      </x:c>
      <x:c r="G55" s="14" t="n">
        <x:v>0.9</x:v>
      </x:c>
      <x:c r="H55" s="12" t="str">
        <x:v>Futures</x:v>
      </x:c>
      <x:c r="I55" s="12" t="str">
        <x:v>Commodity futures</x:v>
      </x:c>
      <x:c r="J55" s="12" t="str">
        <x:v>Long/Short</x:v>
      </x:c>
      <x:c r="K55" s="12" t="str">
        <x:v>Yes</x:v>
      </x:c>
      <x:c r="L55" s="12" t="str">
        <x:v>Yes</x:v>
      </x:c>
      <x:c r="M55" s="12" t="str">
        <x:v>Monthly</x:v>
      </x:c>
      <x:c r="N55" s="12" t="str">
        <x:v>Monthly</x:v>
      </x:c>
      <x:c r="O55" s="12" t="str">
        <x:v>Long strongest one-month momentum / high roll-return candidates.</x:v>
      </x:c>
      <x:c r="P55" s="12" t="str">
        <x:v>Short weakest momentum / low roll-return candidates.</x:v>
      </x:c>
      <x:c r="Q55" s="12" t="str">
        <x:v>Monthly rebalance.</x:v>
      </x:c>
      <x:c r="R55" s="12" t="str">
        <x:v>1m momentum; roll return; cross-sectional grouping</x:v>
      </x:c>
      <x:c r="S55" s="12" t="str">
        <x:v>Futures curve + prices</x:v>
      </x:c>
      <x:c r="T55" s="12" t="str">
        <x:v>Model rolls and contract selection.</x:v>
      </x:c>
      <x:c r="U55" s="12" t="str">
        <x:v>Roll data errors, commodity-specific limits</x:v>
      </x:c>
      <x:c r="V55" s="12" t="str">
        <x:v>High</x:v>
      </x:c>
      <x:c r="W55" s="12" t="str">
        <x:v>A</x:v>
      </x:c>
      <x:c r="X55" s="12" t="str">
        <x:v>https://www.quantconnect.com/learning/articles/investment-strategy-library</x:v>
      </x:c>
      <x:c r="Y55" s="12" t="str">
        <x:v>2026-10-07</x:v>
      </x:c>
      <x:c r="Z55" s="12" t="str">
        <x:v>Specific QC research page provides both momentum and term-structure concepts.</x:v>
      </x:c>
    </x:row>
    <x:row r="56" ht="48" customHeight="1">
      <x:c r="A56" s="12" t="str">
        <x:v>EXT-055</x:v>
      </x:c>
      <x:c r="B56" s="12" t="str">
        <x:v>Gold Market Timing via Fed Model</x:v>
      </x:c>
      <x:c r="C56" s="12" t="str">
        <x:v>Macro / Valuation</x:v>
      </x:c>
      <x:c r="D56" s="12" t="str">
        <x:v>QuantConnect Strategy Library</x:v>
      </x:c>
      <x:c r="E56" s="12" t="str">
        <x:v>Strategy library</x:v>
      </x:c>
      <x:c r="F56" s="12" t="str">
        <x:v>Source summary</x:v>
      </x:c>
      <x:c r="G56" s="14" t="n">
        <x:v>0.78</x:v>
      </x:c>
      <x:c r="H56" s="12" t="str">
        <x:v>Gold</x:v>
      </x:c>
      <x:c r="I56" s="12" t="str">
        <x:v>Gold spot/futures/ETF</x:v>
      </x:c>
      <x:c r="J56" s="12" t="str">
        <x:v>Long source-native</x:v>
      </x:c>
      <x:c r="K56" s="12" t="str">
        <x:v>Yes</x:v>
      </x:c>
      <x:c r="L56" s="12" t="str">
        <x:v>Derived short</x:v>
      </x:c>
      <x:c r="M56" s="12" t="str">
        <x:v>Weeks-Months</x:v>
      </x:c>
      <x:c r="N56" s="12" t="str">
        <x:v>Daily/Monthly</x:v>
      </x:c>
      <x:c r="O56" s="12" t="str">
        <x:v>Long gold when earnings yield exceeds bond yield and ratio &gt;=2.</x:v>
      </x:c>
      <x:c r="P56" s="12" t="str">
        <x:v>Derived: short gold when opposite extreme; source summary does not state this.</x:v>
      </x:c>
      <x:c r="Q56" s="12" t="str">
        <x:v>Exit when valuation condition fails.</x:v>
      </x:c>
      <x:c r="R56" s="12" t="str">
        <x:v>Earnings yield; bond yield; ratio threshold 2</x:v>
      </x:c>
      <x:c r="S56" s="12" t="str">
        <x:v>Equity earnings yield + bond yield + gold</x:v>
      </x:c>
      <x:c r="T56" s="12" t="str">
        <x:v>Macro data publication timing matters.</x:v>
      </x:c>
      <x:c r="U56" s="12" t="str">
        <x:v>Economic rationale uncertainty, revision risk</x:v>
      </x:c>
      <x:c r="V56" s="12" t="str">
        <x:v>Medium</x:v>
      </x:c>
      <x:c r="W56" s="12" t="str">
        <x:v>B</x:v>
      </x:c>
      <x:c r="X56" s="12" t="str">
        <x:v>https://www.quantconnect.com/learning/articles/investment-strategy-library</x:v>
      </x:c>
      <x:c r="Y56" s="12" t="str">
        <x:v>2026-10-07</x:v>
      </x:c>
      <x:c r="Z56" s="12" t="str">
        <x:v>Short is derived.</x:v>
      </x:c>
    </x:row>
    <x:row r="57" ht="48" customHeight="1">
      <x:c r="A57" s="12" t="str">
        <x:v>EXT-056</x:v>
      </x:c>
      <x:c r="B57" s="12" t="str">
        <x:v>Book-to-Market Value Anomaly</x:v>
      </x:c>
      <x:c r="C57" s="12" t="str">
        <x:v>Value</x:v>
      </x:c>
      <x:c r="D57" s="12" t="str">
        <x:v>QuantConnect Strategy Library</x:v>
      </x:c>
      <x:c r="E57" s="12" t="str">
        <x:v>Strategy library</x:v>
      </x:c>
      <x:c r="F57" s="12" t="str">
        <x:v>Source summary</x:v>
      </x:c>
      <x:c r="G57" s="14" t="n">
        <x:v>0.9</x:v>
      </x:c>
      <x:c r="H57" s="12" t="str">
        <x:v>Equities</x:v>
      </x:c>
      <x:c r="I57" s="12" t="str">
        <x:v>Broad equities</x:v>
      </x:c>
      <x:c r="J57" s="12" t="str">
        <x:v>Long source-native</x:v>
      </x:c>
      <x:c r="K57" s="12" t="str">
        <x:v>Yes</x:v>
      </x:c>
      <x:c r="L57" s="12" t="str">
        <x:v>Derived short</x:v>
      </x:c>
      <x:c r="M57" s="12" t="str">
        <x:v>Yearly</x:v>
      </x:c>
      <x:c r="N57" s="12" t="str">
        <x:v>Annual</x:v>
      </x:c>
      <x:c r="O57" s="12" t="str">
        <x:v>Long highest book-to-market quintile.</x:v>
      </x:c>
      <x:c r="P57" s="12" t="str">
        <x:v>Derived: short lowest book-to-market quintile.</x:v>
      </x:c>
      <x:c r="Q57" s="12" t="str">
        <x:v>Annual rebalance.</x:v>
      </x:c>
      <x:c r="R57" s="12" t="str">
        <x:v>Book value; market cap; quintiles</x:v>
      </x:c>
      <x:c r="S57" s="12" t="str">
        <x:v>Point-in-time fundamentals</x:v>
      </x:c>
      <x:c r="T57" s="12" t="str">
        <x:v>Use publication lag.</x:v>
      </x:c>
      <x:c r="U57" s="12" t="str">
        <x:v>Value traps, delistings</x:v>
      </x:c>
      <x:c r="V57" s="12" t="str">
        <x:v>High</x:v>
      </x:c>
      <x:c r="W57" s="12" t="str">
        <x:v>B</x:v>
      </x:c>
      <x:c r="X57" s="12" t="str">
        <x:v>https://www.quantconnect.com/learning/articles/investment-strategy-library</x:v>
      </x:c>
      <x:c r="Y57" s="12" t="str">
        <x:v>2026-10-07</x:v>
      </x:c>
      <x:c r="Z57" s="12" t="str">
        <x:v>Source holds high quintile only.</x:v>
      </x:c>
    </x:row>
    <x:row r="58" ht="48" customHeight="1">
      <x:c r="A58" s="12" t="str">
        <x:v>EXT-057</x:v>
      </x:c>
      <x:c r="B58" s="12" t="str">
        <x:v>Commodity Term Structure Carry</x:v>
      </x:c>
      <x:c r="C58" s="12" t="str">
        <x:v>Carry / Term Structure</x:v>
      </x:c>
      <x:c r="D58" s="12" t="str">
        <x:v>QuantConnect Strategy Library</x:v>
      </x:c>
      <x:c r="E58" s="12" t="str">
        <x:v>Strategy library</x:v>
      </x:c>
      <x:c r="F58" s="12" t="str">
        <x:v>Source summary</x:v>
      </x:c>
      <x:c r="G58" s="14" t="n">
        <x:v>0.9</x:v>
      </x:c>
      <x:c r="H58" s="12" t="str">
        <x:v>Futures</x:v>
      </x:c>
      <x:c r="I58" s="12" t="str">
        <x:v>Commodity futures</x:v>
      </x:c>
      <x:c r="J58" s="12" t="str">
        <x:v>Long/Short</x:v>
      </x:c>
      <x:c r="K58" s="12" t="str">
        <x:v>Yes</x:v>
      </x:c>
      <x:c r="L58" s="12" t="str">
        <x:v>Yes</x:v>
      </x:c>
      <x:c r="M58" s="12" t="str">
        <x:v>Monthly</x:v>
      </x:c>
      <x:c r="N58" s="12" t="str">
        <x:v>Monthly</x:v>
      </x:c>
      <x:c r="O58" s="12" t="str">
        <x:v>Long top 20% roll-return commodities.</x:v>
      </x:c>
      <x:c r="P58" s="12" t="str">
        <x:v>Short bottom 20% roll-return commodities.</x:v>
      </x:c>
      <x:c r="Q58" s="12" t="str">
        <x:v>Hold one month.</x:v>
      </x:c>
      <x:c r="R58" s="12" t="str">
        <x:v>Front/next contracts; roll-return rank</x:v>
      </x:c>
      <x:c r="S58" s="12" t="str">
        <x:v>Futures curves</x:v>
      </x:c>
      <x:c r="T58" s="12" t="str">
        <x:v>Correct roll calendar essential.</x:v>
      </x:c>
      <x:c r="U58" s="12" t="str">
        <x:v>Curve distortions, delivery constraints</x:v>
      </x:c>
      <x:c r="V58" s="12" t="str">
        <x:v>High</x:v>
      </x:c>
      <x:c r="W58" s="12" t="str">
        <x:v>A</x:v>
      </x:c>
      <x:c r="X58" s="12" t="str">
        <x:v>https://www.quantconnect.com/learning/articles/investment-strategy-library</x:v>
      </x:c>
      <x:c r="Y58" s="12" t="str">
        <x:v>2026-10-07</x:v>
      </x:c>
      <x:c r="Z58" s="12" t="str">
        <x:v>Source explicit.</x:v>
      </x:c>
    </x:row>
    <x:row r="59" ht="48" customHeight="1">
      <x:c r="A59" s="12" t="str">
        <x:v>EXT-058</x:v>
      </x:c>
      <x:c r="B59" s="12" t="str">
        <x:v>Overnight SPY Anomaly</x:v>
      </x:c>
      <x:c r="C59" s="12" t="str">
        <x:v>Seasonality / Intraday</x:v>
      </x:c>
      <x:c r="D59" s="12" t="str">
        <x:v>QuantConnect Strategy Library</x:v>
      </x:c>
      <x:c r="E59" s="12" t="str">
        <x:v>Strategy library</x:v>
      </x:c>
      <x:c r="F59" s="12" t="str">
        <x:v>Source summary</x:v>
      </x:c>
      <x:c r="G59" s="14" t="n">
        <x:v>0.9</x:v>
      </x:c>
      <x:c r="H59" s="12" t="str">
        <x:v>ETF</x:v>
      </x:c>
      <x:c r="I59" s="12" t="str">
        <x:v>SPY</x:v>
      </x:c>
      <x:c r="J59" s="12" t="str">
        <x:v>Long source-native</x:v>
      </x:c>
      <x:c r="K59" s="12" t="str">
        <x:v>Yes</x:v>
      </x:c>
      <x:c r="L59" s="12" t="str">
        <x:v>Derived short control</x:v>
      </x:c>
      <x:c r="M59" s="12" t="str">
        <x:v>Overnight</x:v>
      </x:c>
      <x:c r="N59" s="12" t="str">
        <x:v>Daily</x:v>
      </x:c>
      <x:c r="O59" s="12" t="str">
        <x:v>Buy SPY at close.</x:v>
      </x:c>
      <x:c r="P59" s="12" t="str">
        <x:v>Derived negative-control: short close-to-open.</x:v>
      </x:c>
      <x:c r="Q59" s="12" t="str">
        <x:v>Sell at next open.</x:v>
      </x:c>
      <x:c r="R59" s="12" t="str">
        <x:v>Close/open definition</x:v>
      </x:c>
      <x:c r="S59" s="12" t="str">
        <x:v>Daily/intraday prices</x:v>
      </x:c>
      <x:c r="T59" s="12" t="str">
        <x:v>Use executable closing/opening assumptions.</x:v>
      </x:c>
      <x:c r="U59" s="12" t="str">
        <x:v>Auction slippage, decay over time</x:v>
      </x:c>
      <x:c r="V59" s="12" t="str">
        <x:v>High</x:v>
      </x:c>
      <x:c r="W59" s="12" t="str">
        <x:v>A</x:v>
      </x:c>
      <x:c r="X59" s="12" t="str">
        <x:v>https://www.quantconnect.com/learning/articles/investment-strategy-library</x:v>
      </x:c>
      <x:c r="Y59" s="12" t="str">
        <x:v>2026-10-07</x:v>
      </x:c>
      <x:c r="Z59" s="12" t="str">
        <x:v>Source explicit long-only.</x:v>
      </x:c>
    </x:row>
    <x:row r="60" ht="48" customHeight="1">
      <x:c r="A60" s="12" t="str">
        <x:v>EXT-059</x:v>
      </x:c>
      <x:c r="B60" s="12" t="str">
        <x:v>Small-Cap Premium</x:v>
      </x:c>
      <x:c r="C60" s="12" t="str">
        <x:v>Size Factor</x:v>
      </x:c>
      <x:c r="D60" s="12" t="str">
        <x:v>QuantConnect Strategy Library</x:v>
      </x:c>
      <x:c r="E60" s="12" t="str">
        <x:v>Strategy library</x:v>
      </x:c>
      <x:c r="F60" s="12" t="str">
        <x:v>Source summary</x:v>
      </x:c>
      <x:c r="G60" s="14" t="n">
        <x:v>0.9</x:v>
      </x:c>
      <x:c r="H60" s="12" t="str">
        <x:v>Equities</x:v>
      </x:c>
      <x:c r="I60" s="12" t="str">
        <x:v>Broad equities</x:v>
      </x:c>
      <x:c r="J60" s="12" t="str">
        <x:v>Long source-native</x:v>
      </x:c>
      <x:c r="K60" s="12" t="str">
        <x:v>Yes</x:v>
      </x:c>
      <x:c r="L60" s="12" t="str">
        <x:v>Derived short</x:v>
      </x:c>
      <x:c r="M60" s="12" t="str">
        <x:v>Yearly</x:v>
      </x:c>
      <x:c r="N60" s="12" t="str">
        <x:v>Annual</x:v>
      </x:c>
      <x:c r="O60" s="12" t="str">
        <x:v>Long smallest market-cap stocks.</x:v>
      </x:c>
      <x:c r="P60" s="12" t="str">
        <x:v>Derived: short largest stocks for factor spread.</x:v>
      </x:c>
      <x:c r="Q60" s="12" t="str">
        <x:v>Annual rebalance.</x:v>
      </x:c>
      <x:c r="R60" s="12" t="str">
        <x:v>Market-cap ranking</x:v>
      </x:c>
      <x:c r="S60" s="12" t="str">
        <x:v>Point-in-time market cap + prices</x:v>
      </x:c>
      <x:c r="T60" s="12" t="str">
        <x:v>Liquidity/borrow filters essential.</x:v>
      </x:c>
      <x:c r="U60" s="12" t="str">
        <x:v>Microcap costs, delistings</x:v>
      </x:c>
      <x:c r="V60" s="12" t="str">
        <x:v>High</x:v>
      </x:c>
      <x:c r="W60" s="12" t="str">
        <x:v>B</x:v>
      </x:c>
      <x:c r="X60" s="12" t="str">
        <x:v>https://www.quantconnect.com/learning/articles/investment-strategy-library</x:v>
      </x:c>
      <x:c r="Y60" s="12" t="str">
        <x:v>2026-10-07</x:v>
      </x:c>
      <x:c r="Z60" s="12" t="str">
        <x:v>Source only long small.</x:v>
      </x:c>
    </x:row>
    <x:row r="61" ht="48" customHeight="1">
      <x:c r="A61" s="12" t="str">
        <x:v>EXT-060</x:v>
      </x:c>
      <x:c r="B61" s="12" t="str">
        <x:v>Commodity Futures Cross-Sectional Momentum</x:v>
      </x:c>
      <x:c r="C61" s="12" t="str">
        <x:v>Momentum / Futures</x:v>
      </x:c>
      <x:c r="D61" s="12" t="str">
        <x:v>QuantConnect Strategy Library</x:v>
      </x:c>
      <x:c r="E61" s="12" t="str">
        <x:v>Strategy library</x:v>
      </x:c>
      <x:c r="F61" s="12" t="str">
        <x:v>Source summary</x:v>
      </x:c>
      <x:c r="G61" s="14" t="n">
        <x:v>0.9</x:v>
      </x:c>
      <x:c r="H61" s="12" t="str">
        <x:v>Futures</x:v>
      </x:c>
      <x:c r="I61" s="12" t="str">
        <x:v>Commodity futures</x:v>
      </x:c>
      <x:c r="J61" s="12" t="str">
        <x:v>Long/Short</x:v>
      </x:c>
      <x:c r="K61" s="12" t="str">
        <x:v>Yes</x:v>
      </x:c>
      <x:c r="L61" s="12" t="str">
        <x:v>Yes</x:v>
      </x:c>
      <x:c r="M61" s="12" t="str">
        <x:v>Months</x:v>
      </x:c>
      <x:c r="N61" s="12" t="str">
        <x:v>Monthly</x:v>
      </x:c>
      <x:c r="O61" s="12" t="str">
        <x:v>Long highest-momentum futures.</x:v>
      </x:c>
      <x:c r="P61" s="12" t="str">
        <x:v>Short lowest-momentum futures.</x:v>
      </x:c>
      <x:c r="Q61" s="12" t="str">
        <x:v>Periodic rebalance.</x:v>
      </x:c>
      <x:c r="R61" s="12" t="str">
        <x:v>Momentum lookback/ranks</x:v>
      </x:c>
      <x:c r="S61" s="12" t="str">
        <x:v>Continuous futures</x:v>
      </x:c>
      <x:c r="T61" s="12" t="str">
        <x:v>Roll and margin model required.</x:v>
      </x:c>
      <x:c r="U61" s="12" t="str">
        <x:v>Momentum crashes, roll costs</x:v>
      </x:c>
      <x:c r="V61" s="12" t="str">
        <x:v>High</x:v>
      </x:c>
      <x:c r="W61" s="12" t="str">
        <x:v>A</x:v>
      </x:c>
      <x:c r="X61" s="12" t="str">
        <x:v>https://www.quantconnect.com/learning/articles/investment-strategy-library</x:v>
      </x:c>
      <x:c r="Y61" s="12" t="str">
        <x:v>2026-10-07</x:v>
      </x:c>
      <x:c r="Z61" s="12" t="str">
        <x:v>Source explicit.</x:v>
      </x:c>
    </x:row>
    <x:row r="62" ht="48" customHeight="1">
      <x:c r="A62" s="12" t="str">
        <x:v>EXT-061</x:v>
      </x:c>
      <x:c r="B62" s="12" t="str">
        <x:v>Volatility Risk Premium: Short ATM Straddle + OTM Put Hedge</x:v>
      </x:c>
      <x:c r="C62" s="12" t="str">
        <x:v>Options / Volatility</x:v>
      </x:c>
      <x:c r="D62" s="12" t="str">
        <x:v>QuantConnect Strategy Library</x:v>
      </x:c>
      <x:c r="E62" s="12" t="str">
        <x:v>Strategy library</x:v>
      </x:c>
      <x:c r="F62" s="12" t="str">
        <x:v>Source summary</x:v>
      </x:c>
      <x:c r="G62" s="14" t="n">
        <x:v>0.78</x:v>
      </x:c>
      <x:c r="H62" s="12" t="str">
        <x:v>Options</x:v>
      </x:c>
      <x:c r="I62" s="12" t="str">
        <x:v>Liquid index options</x:v>
      </x:c>
      <x:c r="J62" s="12" t="str">
        <x:v>Short volatility multi-leg</x:v>
      </x:c>
      <x:c r="K62" s="12" t="str">
        <x:v>No</x:v>
      </x:c>
      <x:c r="L62" s="12" t="str">
        <x:v>No</x:v>
      </x:c>
      <x:c r="M62" s="12" t="str">
        <x:v>1 month</x:v>
      </x:c>
      <x:c r="N62" s="12" t="str">
        <x:v>Monthly</x:v>
      </x:c>
      <x:c r="O62" s="12" t="str">
        <x:v>N/A as underlying-direction strategy; sell ATM straddle to harvest implied-realized spread.</x:v>
      </x:c>
      <x:c r="P62" s="12" t="str">
        <x:v>N/A; structure is delta-neutral-ish short volatility with protective OTM puts.</x:v>
      </x:c>
      <x:c r="Q62" s="12" t="str">
        <x:v>Monthly expiry/roll; risk limits.</x:v>
      </x:c>
      <x:c r="R62" s="12" t="str">
        <x:v>1m ATM straddle; 15% OTM put hedge</x:v>
      </x:c>
      <x:c r="S62" s="12" t="str">
        <x:v>Option chain, IV, rates, dividends</x:v>
      </x:c>
      <x:c r="T62" s="12" t="str">
        <x:v>Model bid/ask, assignment, early exercise if American, margin.</x:v>
      </x:c>
      <x:c r="U62" s="12" t="str">
        <x:v>Tail risk, skew, vol spikes</x:v>
      </x:c>
      <x:c r="V62" s="12" t="str">
        <x:v>Medium</x:v>
      </x:c>
      <x:c r="W62" s="12" t="str">
        <x:v>B</x:v>
      </x:c>
      <x:c r="X62" s="12" t="str">
        <x:v>https://www.quantconnect.com/learning/articles/investment-strategy-library</x:v>
      </x:c>
      <x:c r="Y62" s="12" t="str">
        <x:v>2026-10-07</x:v>
      </x:c>
      <x:c r="Z62" s="12" t="str">
        <x:v>Keep separate from directional long/short tests.</x:v>
      </x:c>
    </x:row>
    <x:row r="63" ht="48" customHeight="1">
      <x:c r="A63" s="12" t="str">
        <x:v>EXT-062</x:v>
      </x:c>
      <x:c r="B63" s="12" t="str">
        <x:v>Liquidity Effect in Stocks</x:v>
      </x:c>
      <x:c r="C63" s="12" t="str">
        <x:v>Liquidity Factor</x:v>
      </x:c>
      <x:c r="D63" s="12" t="str">
        <x:v>QuantConnect Strategy Library</x:v>
      </x:c>
      <x:c r="E63" s="12" t="str">
        <x:v>Strategy library</x:v>
      </x:c>
      <x:c r="F63" s="12" t="str">
        <x:v>Source summary</x:v>
      </x:c>
      <x:c r="G63" s="14" t="n">
        <x:v>0.9</x:v>
      </x:c>
      <x:c r="H63" s="12" t="str">
        <x:v>Equities</x:v>
      </x:c>
      <x:c r="I63" s="12" t="str">
        <x:v>Lowest market-cap quartile</x:v>
      </x:c>
      <x:c r="J63" s="12" t="str">
        <x:v>Long/Short</x:v>
      </x:c>
      <x:c r="K63" s="12" t="str">
        <x:v>Yes</x:v>
      </x:c>
      <x:c r="L63" s="12" t="str">
        <x:v>Yes</x:v>
      </x:c>
      <x:c r="M63" s="12" t="str">
        <x:v>Months</x:v>
      </x:c>
      <x:c r="N63" s="12" t="str">
        <x:v>Monthly</x:v>
      </x:c>
      <x:c r="O63" s="12" t="str">
        <x:v>Long lowest-turnover stocks.</x:v>
      </x:c>
      <x:c r="P63" s="12" t="str">
        <x:v>Short highest-turnover stocks.</x:v>
      </x:c>
      <x:c r="Q63" s="12" t="str">
        <x:v>Periodic rebalance.</x:v>
      </x:c>
      <x:c r="R63" s="12" t="str">
        <x:v>Turnover metric; size quartile</x:v>
      </x:c>
      <x:c r="S63" s="12" t="str">
        <x:v>Prices + volume + shares outstanding</x:v>
      </x:c>
      <x:c r="T63" s="12" t="str">
        <x:v>Costs may overwhelm low-liquidity leg.</x:v>
      </x:c>
      <x:c r="U63" s="12" t="str">
        <x:v>Capacity, slippage, delisting bias</x:v>
      </x:c>
      <x:c r="V63" s="12" t="str">
        <x:v>High</x:v>
      </x:c>
      <x:c r="W63" s="12" t="str">
        <x:v>B</x:v>
      </x:c>
      <x:c r="X63" s="12" t="str">
        <x:v>https://www.quantconnect.com/learning/articles/investment-strategy-library</x:v>
      </x:c>
      <x:c r="Y63" s="12" t="str">
        <x:v>2026-10-07</x:v>
      </x:c>
      <x:c r="Z63" s="12" t="str">
        <x:v>Source explicit.</x:v>
      </x:c>
    </x:row>
    <x:row r="64" ht="48" customHeight="1">
      <x:c r="A64" s="12" t="str">
        <x:v>EXT-063</x:v>
      </x:c>
      <x:c r="B64" s="12" t="str">
        <x:v>Country Equity 36-Month Mean Reversion</x:v>
      </x:c>
      <x:c r="C64" s="12" t="str">
        <x:v>Mean Reversion / Country</x:v>
      </x:c>
      <x:c r="D64" s="12" t="str">
        <x:v>QuantConnect Strategy Library</x:v>
      </x:c>
      <x:c r="E64" s="12" t="str">
        <x:v>Strategy library</x:v>
      </x:c>
      <x:c r="F64" s="12" t="str">
        <x:v>Source summary</x:v>
      </x:c>
      <x:c r="G64" s="14" t="n">
        <x:v>0.9</x:v>
      </x:c>
      <x:c r="H64" s="12" t="str">
        <x:v>Country ETFs</x:v>
      </x:c>
      <x:c r="I64" s="12" t="str">
        <x:v>Country equity ETFs</x:v>
      </x:c>
      <x:c r="J64" s="12" t="str">
        <x:v>Long/Short</x:v>
      </x:c>
      <x:c r="K64" s="12" t="str">
        <x:v>Yes</x:v>
      </x:c>
      <x:c r="L64" s="12" t="str">
        <x:v>Yes</x:v>
      </x:c>
      <x:c r="M64" s="12" t="str">
        <x:v>Months</x:v>
      </x:c>
      <x:c r="N64" s="12" t="str">
        <x:v>Monthly</x:v>
      </x:c>
      <x:c r="O64" s="12" t="str">
        <x:v>Long worst 36m-return country ETFs.</x:v>
      </x:c>
      <x:c r="P64" s="12" t="str">
        <x:v>Short best 36m-return country ETFs.</x:v>
      </x:c>
      <x:c r="Q64" s="12" t="str">
        <x:v>Periodic rebalance.</x:v>
      </x:c>
      <x:c r="R64" s="12" t="str">
        <x:v>36m return; ranks</x:v>
      </x:c>
      <x:c r="S64" s="12" t="str">
        <x:v>ETF total returns</x:v>
      </x:c>
      <x:c r="T64" s="12" t="str">
        <x:v>Country ETF inception/survivorship.</x:v>
      </x:c>
      <x:c r="U64" s="12" t="str">
        <x:v>Structural country trends, FX effects</x:v>
      </x:c>
      <x:c r="V64" s="12" t="str">
        <x:v>High</x:v>
      </x:c>
      <x:c r="W64" s="12" t="str">
        <x:v>A</x:v>
      </x:c>
      <x:c r="X64" s="12" t="str">
        <x:v>https://www.quantconnect.com/learning/articles/investment-strategy-library</x:v>
      </x:c>
      <x:c r="Y64" s="12" t="str">
        <x:v>2026-10-07</x:v>
      </x:c>
      <x:c r="Z64" s="12" t="str">
        <x:v>Source explicit.</x:v>
      </x:c>
    </x:row>
    <x:row r="65" ht="48" customHeight="1">
      <x:c r="A65" s="12" t="str">
        <x:v>EXT-064</x:v>
      </x:c>
      <x:c r="B65" s="12" t="str">
        <x:v>Country Equity 12-Month Momentum</x:v>
      </x:c>
      <x:c r="C65" s="12" t="str">
        <x:v>Momentum / Country</x:v>
      </x:c>
      <x:c r="D65" s="12" t="str">
        <x:v>QuantConnect Strategy Library</x:v>
      </x:c>
      <x:c r="E65" s="12" t="str">
        <x:v>Strategy library</x:v>
      </x:c>
      <x:c r="F65" s="12" t="str">
        <x:v>Source summary</x:v>
      </x:c>
      <x:c r="G65" s="14" t="n">
        <x:v>0.9</x:v>
      </x:c>
      <x:c r="H65" s="12" t="str">
        <x:v>Country ETFs</x:v>
      </x:c>
      <x:c r="I65" s="12" t="str">
        <x:v>Country equity ETFs</x:v>
      </x:c>
      <x:c r="J65" s="12" t="str">
        <x:v>Long source-native</x:v>
      </x:c>
      <x:c r="K65" s="12" t="str">
        <x:v>Yes</x:v>
      </x:c>
      <x:c r="L65" s="12" t="str">
        <x:v>Derived short</x:v>
      </x:c>
      <x:c r="M65" s="12" t="str">
        <x:v>Months</x:v>
      </x:c>
      <x:c r="N65" s="12" t="str">
        <x:v>Monthly</x:v>
      </x:c>
      <x:c r="O65" s="12" t="str">
        <x:v>Long strongest 12m country ETFs.</x:v>
      </x:c>
      <x:c r="P65" s="12" t="str">
        <x:v>Derived: short weakest 12m country ETFs.</x:v>
      </x:c>
      <x:c r="Q65" s="12" t="str">
        <x:v>Periodic rebalance.</x:v>
      </x:c>
      <x:c r="R65" s="12" t="str">
        <x:v>12m momentum</x:v>
      </x:c>
      <x:c r="S65" s="12" t="str">
        <x:v>ETF total returns</x:v>
      </x:c>
      <x:c r="T65" s="12" t="str">
        <x:v>Use investable set at each date.</x:v>
      </x:c>
      <x:c r="U65" s="12" t="str">
        <x:v>Momentum crashes, country concentration</x:v>
      </x:c>
      <x:c r="V65" s="12" t="str">
        <x:v>High</x:v>
      </x:c>
      <x:c r="W65" s="12" t="str">
        <x:v>B</x:v>
      </x:c>
      <x:c r="X65" s="12" t="str">
        <x:v>https://www.quantconnect.com/learning/articles/investment-strategy-library</x:v>
      </x:c>
      <x:c r="Y65" s="12" t="str">
        <x:v>2026-10-07</x:v>
      </x:c>
      <x:c r="Z65" s="12" t="str">
        <x:v>Source summary only states long.</x:v>
      </x:c>
    </x:row>
    <x:row r="66" ht="48" customHeight="1">
      <x:c r="A66" s="12" t="str">
        <x:v>EXT-065</x:v>
      </x:c>
      <x:c r="B66" s="12" t="str">
        <x:v>Stock 12-Month Momentum</x:v>
      </x:c>
      <x:c r="C66" s="12" t="str">
        <x:v>Momentum / Cross-Sectional</x:v>
      </x:c>
      <x:c r="D66" s="12" t="str">
        <x:v>QuantConnect Strategy Library</x:v>
      </x:c>
      <x:c r="E66" s="12" t="str">
        <x:v>Strategy library</x:v>
      </x:c>
      <x:c r="F66" s="12" t="str">
        <x:v>Source summary</x:v>
      </x:c>
      <x:c r="G66" s="14" t="n">
        <x:v>0.9</x:v>
      </x:c>
      <x:c r="H66" s="12" t="str">
        <x:v>Equities</x:v>
      </x:c>
      <x:c r="I66" s="12" t="str">
        <x:v>Large-cap stocks</x:v>
      </x:c>
      <x:c r="J66" s="12" t="str">
        <x:v>Long source-native</x:v>
      </x:c>
      <x:c r="K66" s="12" t="str">
        <x:v>Yes</x:v>
      </x:c>
      <x:c r="L66" s="12" t="str">
        <x:v>Derived short</x:v>
      </x:c>
      <x:c r="M66" s="12" t="str">
        <x:v>Months</x:v>
      </x:c>
      <x:c r="N66" s="12" t="str">
        <x:v>Monthly</x:v>
      </x:c>
      <x:c r="O66" s="12" t="str">
        <x:v>Long strongest 12m large-cap stocks.</x:v>
      </x:c>
      <x:c r="P66" s="12" t="str">
        <x:v>Derived: short weakest 12m names.</x:v>
      </x:c>
      <x:c r="Q66" s="12" t="str">
        <x:v>Periodic rebalance.</x:v>
      </x:c>
      <x:c r="R66" s="12" t="str">
        <x:v>12m return; universe</x:v>
      </x:c>
      <x:c r="S66" s="12" t="str">
        <x:v>Prices</x:v>
      </x:c>
      <x:c r="T66" s="12" t="str">
        <x:v>Test skip-month separately.</x:v>
      </x:c>
      <x:c r="U66" s="12" t="str">
        <x:v>Momentum crash, crowding</x:v>
      </x:c>
      <x:c r="V66" s="12" t="str">
        <x:v>High</x:v>
      </x:c>
      <x:c r="W66" s="12" t="str">
        <x:v>A</x:v>
      </x:c>
      <x:c r="X66" s="12" t="str">
        <x:v>https://www.quantconnect.com/learning/articles/investment-strategy-library</x:v>
      </x:c>
      <x:c r="Y66" s="12" t="str">
        <x:v>2026-10-07</x:v>
      </x:c>
      <x:c r="Z66" s="12" t="str">
        <x:v>Source long-only description.</x:v>
      </x:c>
    </x:row>
    <x:row r="67" ht="48" customHeight="1">
      <x:c r="A67" s="12" t="str">
        <x:v>EXT-066</x:v>
      </x:c>
      <x:c r="B67" s="12" t="str">
        <x:v>Forex Carry Trade</x:v>
      </x:c>
      <x:c r="C67" s="12" t="str">
        <x:v>Carry / FX</x:v>
      </x:c>
      <x:c r="D67" s="12" t="str">
        <x:v>QuantConnect Strategy Library</x:v>
      </x:c>
      <x:c r="E67" s="12" t="str">
        <x:v>Strategy library</x:v>
      </x:c>
      <x:c r="F67" s="12" t="str">
        <x:v>Source summary</x:v>
      </x:c>
      <x:c r="G67" s="14" t="n">
        <x:v>0.9</x:v>
      </x:c>
      <x:c r="H67" s="12" t="str">
        <x:v>FX</x:v>
      </x:c>
      <x:c r="I67" s="12" t="str">
        <x:v>Major/cross currencies</x:v>
      </x:c>
      <x:c r="J67" s="12" t="str">
        <x:v>Long/Short</x:v>
      </x:c>
      <x:c r="K67" s="12" t="str">
        <x:v>Yes</x:v>
      </x:c>
      <x:c r="L67" s="12" t="str">
        <x:v>Yes</x:v>
      </x:c>
      <x:c r="M67" s="12" t="str">
        <x:v>Monthly</x:v>
      </x:c>
      <x:c r="N67" s="12" t="str">
        <x:v>Monthly</x:v>
      </x:c>
      <x:c r="O67" s="12" t="str">
        <x:v>Long currency with highest central-bank rate.</x:v>
      </x:c>
      <x:c r="P67" s="12" t="str">
        <x:v>Short currency with lowest central-bank rate.</x:v>
      </x:c>
      <x:c r="Q67" s="12" t="str">
        <x:v>Monthly rebalance.</x:v>
      </x:c>
      <x:c r="R67" s="12" t="str">
        <x:v>Policy/short rates; FX pair mapping</x:v>
      </x:c>
      <x:c r="S67" s="12" t="str">
        <x:v>FX spot/forward + rates</x:v>
      </x:c>
      <x:c r="T67" s="12" t="str">
        <x:v>Use forward/funding mechanics, not free carry.</x:v>
      </x:c>
      <x:c r="U67" s="12" t="str">
        <x:v>Crash risk, intervention, rate timing</x:v>
      </x:c>
      <x:c r="V67" s="12" t="str">
        <x:v>High</x:v>
      </x:c>
      <x:c r="W67" s="12" t="str">
        <x:v>A</x:v>
      </x:c>
      <x:c r="X67" s="12" t="str">
        <x:v>https://www.quantconnect.com/learning/articles/investment-strategy-library</x:v>
      </x:c>
      <x:c r="Y67" s="12" t="str">
        <x:v>2026-10-07</x:v>
      </x:c>
      <x:c r="Z67" s="12" t="str">
        <x:v>Source explicit.</x:v>
      </x:c>
    </x:row>
    <x:row r="68" ht="48" customHeight="1">
      <x:c r="A68" s="12" t="str">
        <x:v>EXT-067</x:v>
      </x:c>
      <x:c r="B68" s="12" t="str">
        <x:v>Pairs Trading with Stocks (SSD)</x:v>
      </x:c>
      <x:c r="C68" s="12" t="str">
        <x:v>Stat Arb / Pairs</x:v>
      </x:c>
      <x:c r="D68" s="12" t="str">
        <x:v>QuantConnect Strategy Library</x:v>
      </x:c>
      <x:c r="E68" s="12" t="str">
        <x:v>Strategy library</x:v>
      </x:c>
      <x:c r="F68" s="12" t="str">
        <x:v>Source summary</x:v>
      </x:c>
      <x:c r="G68" s="14" t="n">
        <x:v>0.9</x:v>
      </x:c>
      <x:c r="H68" s="12" t="str">
        <x:v>Equities</x:v>
      </x:c>
      <x:c r="I68" s="12" t="str">
        <x:v>Stock pairs</x:v>
      </x:c>
      <x:c r="J68" s="12" t="str">
        <x:v>Market-neutral</x:v>
      </x:c>
      <x:c r="K68" s="12" t="str">
        <x:v>Yes</x:v>
      </x:c>
      <x:c r="L68" s="12" t="str">
        <x:v>Yes</x:v>
      </x:c>
      <x:c r="M68" s="12" t="str">
        <x:v>Days-Weeks</x:v>
      </x:c>
      <x:c r="N68" s="12" t="str">
        <x:v>Daily</x:v>
      </x:c>
      <x:c r="O68" s="12" t="str">
        <x:v>Select pair minimizing normalized-price sum-squared deviation; long underperformer.</x:v>
      </x:c>
      <x:c r="P68" s="12" t="str">
        <x:v>Short outperformer.</x:v>
      </x:c>
      <x:c r="Q68" s="12" t="str">
        <x:v>Exit when normalized-price spread converges.</x:v>
      </x:c>
      <x:c r="R68" s="12" t="str">
        <x:v>Formation window; SSD threshold; entry z-score</x:v>
      </x:c>
      <x:c r="S68" s="12" t="str">
        <x:v>Pair prices</x:v>
      </x:c>
      <x:c r="T68" s="12" t="str">
        <x:v>Borrow/fees both legs.</x:v>
      </x:c>
      <x:c r="U68" s="12" t="str">
        <x:v>Pair decay, selection bias</x:v>
      </x:c>
      <x:c r="V68" s="12" t="str">
        <x:v>High</x:v>
      </x:c>
      <x:c r="W68" s="12" t="str">
        <x:v>A</x:v>
      </x:c>
      <x:c r="X68" s="12" t="str">
        <x:v>https://www.quantconnect.com/learning/articles/investment-strategy-library</x:v>
      </x:c>
      <x:c r="Y68" s="12" t="str">
        <x:v>2026-10-07</x:v>
      </x:c>
      <x:c r="Z68" s="12" t="str">
        <x:v>Source explicit.</x:v>
      </x:c>
    </x:row>
    <x:row r="69" ht="48" customHeight="1">
      <x:c r="A69" s="12" t="str">
        <x:v>EXT-068</x:v>
      </x:c>
      <x:c r="B69" s="12" t="str">
        <x:v>Asset-Class Momentum</x:v>
      </x:c>
      <x:c r="C69" s="12" t="str">
        <x:v>Momentum / Rotation</x:v>
      </x:c>
      <x:c r="D69" s="12" t="str">
        <x:v>QuantConnect Strategy Library</x:v>
      </x:c>
      <x:c r="E69" s="12" t="str">
        <x:v>Strategy library</x:v>
      </x:c>
      <x:c r="F69" s="12" t="str">
        <x:v>Source summary</x:v>
      </x:c>
      <x:c r="G69" s="14" t="n">
        <x:v>0.9</x:v>
      </x:c>
      <x:c r="H69" s="12" t="str">
        <x:v>ETFs</x:v>
      </x:c>
      <x:c r="I69" s="12" t="str">
        <x:v>Multi-asset ETFs</x:v>
      </x:c>
      <x:c r="J69" s="12" t="str">
        <x:v>Long rotation</x:v>
      </x:c>
      <x:c r="K69" s="12" t="str">
        <x:v>Yes</x:v>
      </x:c>
      <x:c r="L69" s="12" t="str">
        <x:v>Derived long-short</x:v>
      </x:c>
      <x:c r="M69" s="12" t="str">
        <x:v>Months</x:v>
      </x:c>
      <x:c r="N69" s="12" t="str">
        <x:v>Monthly</x:v>
      </x:c>
      <x:c r="O69" s="12" t="str">
        <x:v>Equal-weight highest-momentum asset-class ETFs.</x:v>
      </x:c>
      <x:c r="P69" s="12" t="str">
        <x:v>Derived: short weakest asset classes as separate research variant.</x:v>
      </x:c>
      <x:c r="Q69" s="12" t="str">
        <x:v>Periodic rebalance.</x:v>
      </x:c>
      <x:c r="R69" s="12" t="str">
        <x:v>Momentum lookback; number selected</x:v>
      </x:c>
      <x:c r="S69" s="12" t="str">
        <x:v>ETF total returns</x:v>
      </x:c>
      <x:c r="T69" s="12" t="str">
        <x:v>Underlying proxies differ by era.</x:v>
      </x:c>
      <x:c r="U69" s="12" t="str">
        <x:v>Trend reversals, concentration</x:v>
      </x:c>
      <x:c r="V69" s="12" t="str">
        <x:v>High</x:v>
      </x:c>
      <x:c r="W69" s="12" t="str">
        <x:v>A</x:v>
      </x:c>
      <x:c r="X69" s="12" t="str">
        <x:v>https://www.quantconnect.com/learning/articles/investment-strategy-library</x:v>
      </x:c>
      <x:c r="Y69" s="12" t="str">
        <x:v>2026-10-07</x:v>
      </x:c>
      <x:c r="Z69" s="12" t="str">
        <x:v>Source long top assets.</x:v>
      </x:c>
    </x:row>
    <x:row r="70" ht="48" customHeight="1">
      <x:c r="A70" s="12" t="str">
        <x:v>EXT-069</x:v>
      </x:c>
      <x:c r="B70" s="12" t="str">
        <x:v>Low-Volatility Stocks</x:v>
      </x:c>
      <x:c r="C70" s="12" t="str">
        <x:v>Low Volatility Factor</x:v>
      </x:c>
      <x:c r="D70" s="12" t="str">
        <x:v>QuantConnect Strategy Library</x:v>
      </x:c>
      <x:c r="E70" s="12" t="str">
        <x:v>Strategy library</x:v>
      </x:c>
      <x:c r="F70" s="12" t="str">
        <x:v>Source summary</x:v>
      </x:c>
      <x:c r="G70" s="14" t="n">
        <x:v>0.9</x:v>
      </x:c>
      <x:c r="H70" s="12" t="str">
        <x:v>Equities</x:v>
      </x:c>
      <x:c r="I70" s="12" t="str">
        <x:v>Broad equities</x:v>
      </x:c>
      <x:c r="J70" s="12" t="str">
        <x:v>Long source-native</x:v>
      </x:c>
      <x:c r="K70" s="12" t="str">
        <x:v>Yes</x:v>
      </x:c>
      <x:c r="L70" s="12" t="str">
        <x:v>Derived short</x:v>
      </x:c>
      <x:c r="M70" s="12" t="str">
        <x:v>Months</x:v>
      </x:c>
      <x:c r="N70" s="12" t="str">
        <x:v>Monthly</x:v>
      </x:c>
      <x:c r="O70" s="12" t="str">
        <x:v>Long lowest trailing-1y volatility stocks.</x:v>
      </x:c>
      <x:c r="P70" s="12" t="str">
        <x:v>Derived: short highest-vol stocks.</x:v>
      </x:c>
      <x:c r="Q70" s="12" t="str">
        <x:v>Periodic rebalance.</x:v>
      </x:c>
      <x:c r="R70" s="12" t="str">
        <x:v>1y volatility; rank</x:v>
      </x:c>
      <x:c r="S70" s="12" t="str">
        <x:v>Daily returns</x:v>
      </x:c>
      <x:c r="T70" s="12" t="str">
        <x:v>Corporate actions and survivorship.</x:v>
      </x:c>
      <x:c r="U70" s="12" t="str">
        <x:v>Leverage/sector bias, vol estimation</x:v>
      </x:c>
      <x:c r="V70" s="12" t="str">
        <x:v>High</x:v>
      </x:c>
      <x:c r="W70" s="12" t="str">
        <x:v>B</x:v>
      </x:c>
      <x:c r="X70" s="12" t="str">
        <x:v>https://www.quantconnect.com/learning/articles/investment-strategy-library</x:v>
      </x:c>
      <x:c r="Y70" s="12" t="str">
        <x:v>2026-10-07</x:v>
      </x:c>
      <x:c r="Z70" s="12" t="str">
        <x:v>Source long-only.</x:v>
      </x:c>
    </x:row>
    <x:row r="71" ht="48" customHeight="1">
      <x:c r="A71" s="12" t="str">
        <x:v>EXT-070</x:v>
      </x:c>
      <x:c r="B71" s="12" t="str">
        <x:v>Sector Momentum</x:v>
      </x:c>
      <x:c r="C71" s="12" t="str">
        <x:v>Momentum / Rotation</x:v>
      </x:c>
      <x:c r="D71" s="12" t="str">
        <x:v>QuantConnect Strategy Library</x:v>
      </x:c>
      <x:c r="E71" s="12" t="str">
        <x:v>Strategy library</x:v>
      </x:c>
      <x:c r="F71" s="12" t="str">
        <x:v>Source summary</x:v>
      </x:c>
      <x:c r="G71" s="14" t="n">
        <x:v>0.9</x:v>
      </x:c>
      <x:c r="H71" s="12" t="str">
        <x:v>Sector ETFs</x:v>
      </x:c>
      <x:c r="I71" s="12" t="str">
        <x:v>Sector ETFs</x:v>
      </x:c>
      <x:c r="J71" s="12" t="str">
        <x:v>Long rotation</x:v>
      </x:c>
      <x:c r="K71" s="12" t="str">
        <x:v>Yes</x:v>
      </x:c>
      <x:c r="L71" s="12" t="str">
        <x:v>Derived long-short</x:v>
      </x:c>
      <x:c r="M71" s="12" t="str">
        <x:v>Months</x:v>
      </x:c>
      <x:c r="N71" s="12" t="str">
        <x:v>Monthly</x:v>
      </x:c>
      <x:c r="O71" s="12" t="str">
        <x:v>Equal-weight sectors with highest momentum.</x:v>
      </x:c>
      <x:c r="P71" s="12" t="str">
        <x:v>Derived: short weakest sectors.</x:v>
      </x:c>
      <x:c r="Q71" s="12" t="str">
        <x:v>Periodic rebalance.</x:v>
      </x:c>
      <x:c r="R71" s="12" t="str">
        <x:v>Momentum lookback; top N</x:v>
      </x:c>
      <x:c r="S71" s="12" t="str">
        <x:v>Sector ETF total returns</x:v>
      </x:c>
      <x:c r="T71" s="12" t="str">
        <x:v>ETFs start dates vary.</x:v>
      </x:c>
      <x:c r="U71" s="12" t="str">
        <x:v>Momentum crashes, sector concentration</x:v>
      </x:c>
      <x:c r="V71" s="12" t="str">
        <x:v>High</x:v>
      </x:c>
      <x:c r="W71" s="12" t="str">
        <x:v>A</x:v>
      </x:c>
      <x:c r="X71" s="12" t="str">
        <x:v>https://www.quantconnect.com/learning/articles/investment-strategy-library</x:v>
      </x:c>
      <x:c r="Y71" s="12" t="str">
        <x:v>2026-10-07</x:v>
      </x:c>
      <x:c r="Z71" s="12" t="str">
        <x:v>Source long top sectors.</x:v>
      </x:c>
    </x:row>
    <x:row r="72" ht="48" customHeight="1">
      <x:c r="A72" s="12" t="str">
        <x:v>EXT-071</x:v>
      </x:c>
      <x:c r="B72" s="12" t="str">
        <x:v>Asset-Class Trend Following (10M MA)</x:v>
      </x:c>
      <x:c r="C72" s="12" t="str">
        <x:v>Trend / Moving Average</x:v>
      </x:c>
      <x:c r="D72" s="12" t="str">
        <x:v>QuantConnect Strategy Library</x:v>
      </x:c>
      <x:c r="E72" s="12" t="str">
        <x:v>Strategy library</x:v>
      </x:c>
      <x:c r="F72" s="12" t="str">
        <x:v>Source summary</x:v>
      </x:c>
      <x:c r="G72" s="14" t="n">
        <x:v>0.9</x:v>
      </x:c>
      <x:c r="H72" s="12" t="str">
        <x:v>ETFs</x:v>
      </x:c>
      <x:c r="I72" s="12" t="str">
        <x:v>Multi-asset ETFs</x:v>
      </x:c>
      <x:c r="J72" s="12" t="str">
        <x:v>Long/Cash source-native</x:v>
      </x:c>
      <x:c r="K72" s="12" t="str">
        <x:v>Yes</x:v>
      </x:c>
      <x:c r="L72" s="12" t="str">
        <x:v>Derived short</x:v>
      </x:c>
      <x:c r="M72" s="12" t="str">
        <x:v>Months</x:v>
      </x:c>
      <x:c r="N72" s="12" t="str">
        <x:v>Monthly</x:v>
      </x:c>
      <x:c r="O72" s="12" t="str">
        <x:v>Hold assets above 10-month moving average.</x:v>
      </x:c>
      <x:c r="P72" s="12" t="str">
        <x:v>Derived: short assets below 10M MA.</x:v>
      </x:c>
      <x:c r="Q72" s="12" t="str">
        <x:v>Monthly rebalance.</x:v>
      </x:c>
      <x:c r="R72" s="12" t="str">
        <x:v>10-month MA</x:v>
      </x:c>
      <x:c r="S72" s="12" t="str">
        <x:v>Monthly total returns</x:v>
      </x:c>
      <x:c r="T72" s="12" t="str">
        <x:v>Source is long/cash; short mirror separate candidate.</x:v>
      </x:c>
      <x:c r="U72" s="12" t="str">
        <x:v>Whipsaw, sparse signals</x:v>
      </x:c>
      <x:c r="V72" s="12" t="str">
        <x:v>High</x:v>
      </x:c>
      <x:c r="W72" s="12" t="str">
        <x:v>A</x:v>
      </x:c>
      <x:c r="X72" s="12" t="str">
        <x:v>https://www.quantconnect.com/learning/articles/investment-strategy-library</x:v>
      </x:c>
      <x:c r="Y72" s="12" t="str">
        <x:v>2026-10-07</x:v>
      </x:c>
      <x:c r="Z72" s="12" t="str">
        <x:v>Simple broad trend candidate.</x:v>
      </x:c>
    </x:row>
    <x:row r="73" ht="48" customHeight="1">
      <x:c r="A73" s="12" t="str">
        <x:v>EXT-072</x:v>
      </x:c>
      <x:c r="B73" s="12" t="str">
        <x:v>Short-Term Reversal</x:v>
      </x:c>
      <x:c r="C73" s="12" t="str">
        <x:v>Reversal / Cross-Sectional</x:v>
      </x:c>
      <x:c r="D73" s="12" t="str">
        <x:v>QuantConnect Strategy Library</x:v>
      </x:c>
      <x:c r="E73" s="12" t="str">
        <x:v>Strategy library</x:v>
      </x:c>
      <x:c r="F73" s="12" t="str">
        <x:v>Source summary</x:v>
      </x:c>
      <x:c r="G73" s="14" t="n">
        <x:v>0.9</x:v>
      </x:c>
      <x:c r="H73" s="12" t="str">
        <x:v>Equities</x:v>
      </x:c>
      <x:c r="I73" s="12" t="str">
        <x:v>Broad equities</x:v>
      </x:c>
      <x:c r="J73" s="12" t="str">
        <x:v>Long/Short</x:v>
      </x:c>
      <x:c r="K73" s="12" t="str">
        <x:v>Yes</x:v>
      </x:c>
      <x:c r="L73" s="12" t="str">
        <x:v>Yes</x:v>
      </x:c>
      <x:c r="M73" s="12" t="str">
        <x:v>1 month</x:v>
      </x:c>
      <x:c r="N73" s="12" t="str">
        <x:v>Monthly</x:v>
      </x:c>
      <x:c r="O73" s="12" t="str">
        <x:v>Long worst prior-month stocks.</x:v>
      </x:c>
      <x:c r="P73" s="12" t="str">
        <x:v>Short best prior-month stocks.</x:v>
      </x:c>
      <x:c r="Q73" s="12" t="str">
        <x:v>Monthly rebalance.</x:v>
      </x:c>
      <x:c r="R73" s="12" t="str">
        <x:v>1m return ranks</x:v>
      </x:c>
      <x:c r="S73" s="12" t="str">
        <x:v>Prices</x:v>
      </x:c>
      <x:c r="T73" s="12" t="str">
        <x:v>Short availability.</x:v>
      </x:c>
      <x:c r="U73" s="12" t="str">
        <x:v>Microstructure, distress, costs</x:v>
      </x:c>
      <x:c r="V73" s="12" t="str">
        <x:v>High</x:v>
      </x:c>
      <x:c r="W73" s="12" t="str">
        <x:v>A</x:v>
      </x:c>
      <x:c r="X73" s="12" t="str">
        <x:v>https://www.quantconnect.com/learning/articles/investment-strategy-library</x:v>
      </x:c>
      <x:c r="Y73" s="12" t="str">
        <x:v>2026-10-07</x:v>
      </x:c>
      <x:c r="Z73" s="12" t="str">
        <x:v>Source explicit.</x:v>
      </x:c>
    </x:row>
    <x:row r="74" ht="48" customHeight="1">
      <x:c r="A74" s="12" t="str">
        <x:v>EXT-073</x:v>
      </x:c>
      <x:c r="B74" s="12" t="str">
        <x:v>Forex 12-Month Momentum</x:v>
      </x:c>
      <x:c r="C74" s="12" t="str">
        <x:v>Momentum / FX</x:v>
      </x:c>
      <x:c r="D74" s="12" t="str">
        <x:v>QuantConnect Strategy Library</x:v>
      </x:c>
      <x:c r="E74" s="12" t="str">
        <x:v>Strategy library</x:v>
      </x:c>
      <x:c r="F74" s="12" t="str">
        <x:v>Source summary</x:v>
      </x:c>
      <x:c r="G74" s="14" t="n">
        <x:v>0.9</x:v>
      </x:c>
      <x:c r="H74" s="12" t="str">
        <x:v>FX</x:v>
      </x:c>
      <x:c r="I74" s="12" t="str">
        <x:v>Major currencies vs USD</x:v>
      </x:c>
      <x:c r="J74" s="12" t="str">
        <x:v>Long/Short</x:v>
      </x:c>
      <x:c r="K74" s="12" t="str">
        <x:v>Yes</x:v>
      </x:c>
      <x:c r="L74" s="12" t="str">
        <x:v>Yes</x:v>
      </x:c>
      <x:c r="M74" s="12" t="str">
        <x:v>Months</x:v>
      </x:c>
      <x:c r="N74" s="12" t="str">
        <x:v>Monthly</x:v>
      </x:c>
      <x:c r="O74" s="12" t="str">
        <x:v>Long strongest 12m currencies vs USD.</x:v>
      </x:c>
      <x:c r="P74" s="12" t="str">
        <x:v>Short weakest 12m currencies vs USD.</x:v>
      </x:c>
      <x:c r="Q74" s="12" t="str">
        <x:v>Periodic rebalance.</x:v>
      </x:c>
      <x:c r="R74" s="12" t="str">
        <x:v>12m FX return</x:v>
      </x:c>
      <x:c r="S74" s="12" t="str">
        <x:v>FX spot/forward</x:v>
      </x:c>
      <x:c r="T74" s="12" t="str">
        <x:v>Funding should be modeled.</x:v>
      </x:c>
      <x:c r="U74" s="12" t="str">
        <x:v>Carry confounding, crashes</x:v>
      </x:c>
      <x:c r="V74" s="12" t="str">
        <x:v>High</x:v>
      </x:c>
      <x:c r="W74" s="12" t="str">
        <x:v>A</x:v>
      </x:c>
      <x:c r="X74" s="12" t="str">
        <x:v>https://www.quantconnect.com/learning/articles/investment-strategy-library</x:v>
      </x:c>
      <x:c r="Y74" s="12" t="str">
        <x:v>2026-10-07</x:v>
      </x:c>
      <x:c r="Z74" s="12" t="str">
        <x:v>Source explicit.</x:v>
      </x:c>
    </x:row>
    <x:row r="75" ht="48" customHeight="1">
      <x:c r="A75" s="12" t="str">
        <x:v>EXT-074</x:v>
      </x:c>
      <x:c r="B75" s="12" t="str">
        <x:v>Low-Frequency Forex Momentum</x:v>
      </x:c>
      <x:c r="C75" s="12" t="str">
        <x:v>Momentum / FX</x:v>
      </x:c>
      <x:c r="D75" s="12" t="str">
        <x:v>QuantConnect Strategy Library</x:v>
      </x:c>
      <x:c r="E75" s="12" t="str">
        <x:v>Strategy library</x:v>
      </x:c>
      <x:c r="F75" s="12" t="str">
        <x:v>Source summary</x:v>
      </x:c>
      <x:c r="G75" s="14" t="n">
        <x:v>0.78</x:v>
      </x:c>
      <x:c r="H75" s="12" t="str">
        <x:v>FX</x:v>
      </x:c>
      <x:c r="I75" s="12" t="str">
        <x:v>FX pairs</x:v>
      </x:c>
      <x:c r="J75" s="12" t="str">
        <x:v>Long/Short</x:v>
      </x:c>
      <x:c r="K75" s="12" t="str">
        <x:v>Yes</x:v>
      </x:c>
      <x:c r="L75" s="12" t="str">
        <x:v>Yes</x:v>
      </x:c>
      <x:c r="M75" s="12" t="str">
        <x:v>Months</x:v>
      </x:c>
      <x:c r="N75" s="12" t="str">
        <x:v>Monthly</x:v>
      </x:c>
      <x:c r="O75" s="12" t="str">
        <x:v>Filter FX returns to low-frequency component; long positive/strong component.</x:v>
      </x:c>
      <x:c r="P75" s="12" t="str">
        <x:v>Short negative/weak component.</x:v>
      </x:c>
      <x:c r="Q75" s="12" t="str">
        <x:v>Periodic rebalance.</x:v>
      </x:c>
      <x:c r="R75" s="12" t="str">
        <x:v>Filter method/cutoff; momentum window</x:v>
      </x:c>
      <x:c r="S75" s="12" t="str">
        <x:v>FX price series</x:v>
      </x:c>
      <x:c r="T75" s="12" t="str">
        <x:v>Causal filter implementation required.</x:v>
      </x:c>
      <x:c r="U75" s="12" t="str">
        <x:v>Look-ahead from two-sided filters</x:v>
      </x:c>
      <x:c r="V75" s="12" t="str">
        <x:v>Medium</x:v>
      </x:c>
      <x:c r="W75" s="12" t="str">
        <x:v>B</x:v>
      </x:c>
      <x:c r="X75" s="12" t="str">
        <x:v>https://www.quantconnect.com/learning/articles/investment-strategy-library</x:v>
      </x:c>
      <x:c r="Y75" s="12" t="str">
        <x:v>2026-10-07</x:v>
      </x:c>
      <x:c r="Z75" s="12" t="str">
        <x:v>Critical: use one-sided/causal filtering.</x:v>
      </x:c>
    </x:row>
    <x:row r="76" ht="48" customHeight="1">
      <x:c r="A76" s="12" t="str">
        <x:v>EXT-075</x:v>
      </x:c>
      <x:c r="B76" s="12" t="str">
        <x:v>Dynamic Breakout II</x:v>
      </x:c>
      <x:c r="C76" s="12" t="str">
        <x:v>Breakout / Trend</x:v>
      </x:c>
      <x:c r="D76" s="12" t="str">
        <x:v>QuantConnect Strategy Library</x:v>
      </x:c>
      <x:c r="E76" s="12" t="str">
        <x:v>Strategy library</x:v>
      </x:c>
      <x:c r="F76" s="12" t="str">
        <x:v>Source summary</x:v>
      </x:c>
      <x:c r="G76" s="14" t="n">
        <x:v>0.78</x:v>
      </x:c>
      <x:c r="H76" s="12" t="str">
        <x:v>Multi-Asset</x:v>
      </x:c>
      <x:c r="I76" s="12" t="str">
        <x:v>Liquid futures/FX/equities</x:v>
      </x:c>
      <x:c r="J76" s="12" t="str">
        <x:v>Both</x:v>
      </x:c>
      <x:c r="K76" s="12" t="str">
        <x:v>Yes</x:v>
      </x:c>
      <x:c r="L76" s="12" t="str">
        <x:v>Yes</x:v>
      </x:c>
      <x:c r="M76" s="12" t="str">
        <x:v>Intraday-Swing</x:v>
      </x:c>
      <x:c r="N76" s="12" t="str">
        <x:v>Source-specific</x:v>
      </x:c>
      <x:c r="O76" s="12" t="str">
        <x:v>Long on source-defined dynamic upper breakout.</x:v>
      </x:c>
      <x:c r="P76" s="12" t="str">
        <x:v>Short on dynamic lower breakout.</x:v>
      </x:c>
      <x:c r="Q76" s="12" t="str">
        <x:v>Opposite breakout/stop.</x:v>
      </x:c>
      <x:c r="R76" s="12" t="str">
        <x:v>Dynamic range lookback/multipliers</x:v>
      </x:c>
      <x:c r="S76" s="12" t="str">
        <x:v>OHLC</x:v>
      </x:c>
      <x:c r="T76" s="12" t="str">
        <x:v>Underlying article required for exact formula.</x:v>
      </x:c>
      <x:c r="U76" s="12" t="str">
        <x:v>Parameter ambiguity</x:v>
      </x:c>
      <x:c r="V76" s="12" t="str">
        <x:v>Medium</x:v>
      </x:c>
      <x:c r="W76" s="12" t="str">
        <x:v>B</x:v>
      </x:c>
      <x:c r="X76" s="12" t="str">
        <x:v>https://www.quantconnect.com/learning/articles/investment-strategy-library</x:v>
      </x:c>
      <x:c r="Y76" s="12" t="str">
        <x:v>2026-10-07</x:v>
      </x:c>
      <x:c r="Z76" s="12" t="str">
        <x:v>Library only names strategy; formalize from article before test.</x:v>
      </x:c>
    </x:row>
    <x:row r="77" ht="48" customHeight="1">
      <x:c r="A77" s="12" t="str">
        <x:v>EXT-076</x:v>
      </x:c>
      <x:c r="B77" s="12" t="str">
        <x:v>Crude Oil Predicts Equity Returns</x:v>
      </x:c>
      <x:c r="C77" s="12" t="str">
        <x:v>Macro / Predictive</x:v>
      </x:c>
      <x:c r="D77" s="12" t="str">
        <x:v>QuantConnect Strategy Library</x:v>
      </x:c>
      <x:c r="E77" s="12" t="str">
        <x:v>Strategy library</x:v>
      </x:c>
      <x:c r="F77" s="12" t="str">
        <x:v>Source summary</x:v>
      </x:c>
      <x:c r="G77" s="14" t="n">
        <x:v>0.78</x:v>
      </x:c>
      <x:c r="H77" s="12" t="str">
        <x:v>Equities + Oil</x:v>
      </x:c>
      <x:c r="I77" s="12" t="str">
        <x:v>Equity index + crude oil</x:v>
      </x:c>
      <x:c r="J77" s="12" t="str">
        <x:v>Long/Short timing</x:v>
      </x:c>
      <x:c r="K77" s="12" t="str">
        <x:v>Yes</x:v>
      </x:c>
      <x:c r="L77" s="12" t="str">
        <x:v>Yes</x:v>
      </x:c>
      <x:c r="M77" s="12" t="str">
        <x:v>Monthly</x:v>
      </x:c>
      <x:c r="N77" s="12" t="str">
        <x:v>Monthly</x:v>
      </x:c>
      <x:c r="O77" s="12" t="str">
        <x:v>Long equities when regression-predicted return from crude-oil signal exceeds T-bill rate.</x:v>
      </x:c>
      <x:c r="P77" s="12" t="str">
        <x:v>Short/hedge when predicted equity return is sufficiently below T-bill rate.</x:v>
      </x:c>
      <x:c r="Q77" s="12" t="str">
        <x:v>Re-estimate/rebalance periodically.</x:v>
      </x:c>
      <x:c r="R77" s="12" t="str">
        <x:v>Regression window; oil return predictors; T-bill hurdle</x:v>
      </x:c>
      <x:c r="S77" s="12" t="str">
        <x:v>Oil + equity index + T-bill data</x:v>
      </x:c>
      <x:c r="T77" s="12" t="str">
        <x:v>Point-in-time macro data only.</x:v>
      </x:c>
      <x:c r="U77" s="12" t="str">
        <x:v>Spurious regression, instability</x:v>
      </x:c>
      <x:c r="V77" s="12" t="str">
        <x:v>Medium</x:v>
      </x:c>
      <x:c r="W77" s="12" t="str">
        <x:v>B</x:v>
      </x:c>
      <x:c r="X77" s="12" t="str">
        <x:v>https://www.quantconnect.com/learning/articles/investment-strategy-library</x:v>
      </x:c>
      <x:c r="Y77" s="12" t="str">
        <x:v>2026-10-07</x:v>
      </x:c>
      <x:c r="Z77" s="12" t="str">
        <x:v>Source compares predicted equity return to short-term T-bill.</x:v>
      </x:c>
    </x:row>
    <x:row r="78" ht="48" customHeight="1">
      <x:c r="A78" s="12" t="str">
        <x:v>EXT-077</x:v>
      </x:c>
      <x:c r="B78" s="12" t="str">
        <x:v>Dual Thrust Intraday</x:v>
      </x:c>
      <x:c r="C78" s="12" t="str">
        <x:v>Breakout / Intraday</x:v>
      </x:c>
      <x:c r="D78" s="12" t="str">
        <x:v>QuantConnect Strategy Library</x:v>
      </x:c>
      <x:c r="E78" s="12" t="str">
        <x:v>Strategy library</x:v>
      </x:c>
      <x:c r="F78" s="12" t="str">
        <x:v>Source summary</x:v>
      </x:c>
      <x:c r="G78" s="14" t="n">
        <x:v>0.9</x:v>
      </x:c>
      <x:c r="H78" s="12" t="str">
        <x:v>Multi-Asset</x:v>
      </x:c>
      <x:c r="I78" s="12" t="str">
        <x:v>Futures/FX/liquid intraday assets</x:v>
      </x:c>
      <x:c r="J78" s="12" t="str">
        <x:v>Both</x:v>
      </x:c>
      <x:c r="K78" s="12" t="str">
        <x:v>Yes</x:v>
      </x:c>
      <x:c r="L78" s="12" t="str">
        <x:v>Yes</x:v>
      </x:c>
      <x:c r="M78" s="12" t="str">
        <x:v>Intraday</x:v>
      </x:c>
      <x:c r="N78" s="12" t="str">
        <x:v>Daily+Intraday</x:v>
      </x:c>
      <x:c r="O78" s="12" t="str">
        <x:v>Long above daily opening + K1*range trigger.</x:v>
      </x:c>
      <x:c r="P78" s="12" t="str">
        <x:v>Short below opening - K2*range trigger.</x:v>
      </x:c>
      <x:c r="Q78" s="12" t="str">
        <x:v>End-of-day/opposite trigger/stop.</x:v>
      </x:c>
      <x:c r="R78" s="12" t="str">
        <x:v>Lookback range; K1/K2</x:v>
      </x:c>
      <x:c r="S78" s="12" t="str">
        <x:v>Daily + intraday OHLC</x:v>
      </x:c>
      <x:c r="T78" s="12" t="str">
        <x:v>No same-bar fill fabrication.</x:v>
      </x:c>
      <x:c r="U78" s="12" t="str">
        <x:v>Gap/limit moves, parameter sensitivity</x:v>
      </x:c>
      <x:c r="V78" s="12" t="str">
        <x:v>High</x:v>
      </x:c>
      <x:c r="W78" s="12" t="str">
        <x:v>A</x:v>
      </x:c>
      <x:c r="X78" s="12" t="str">
        <x:v>https://www.quantconnect.com/learning/articles/investment-strategy-library</x:v>
      </x:c>
      <x:c r="Y78" s="12" t="str">
        <x:v>2026-10-07</x:v>
      </x:c>
      <x:c r="Z78" s="12" t="str">
        <x:v>Classic Dual Thrust formulation; verify QC implementation.</x:v>
      </x:c>
    </x:row>
    <x:row r="79" ht="48" customHeight="1">
      <x:c r="A79" s="12" t="str">
        <x:v>EXT-078</x:v>
      </x:c>
      <x:c r="B79" s="12" t="str">
        <x:v>Fundamental Stock Selection</x:v>
      </x:c>
      <x:c r="C79" s="12" t="str">
        <x:v>Fundamental / Multi-Factor</x:v>
      </x:c>
      <x:c r="D79" s="12" t="str">
        <x:v>QuantConnect Strategy Library</x:v>
      </x:c>
      <x:c r="E79" s="12" t="str">
        <x:v>Strategy library</x:v>
      </x:c>
      <x:c r="F79" s="12" t="str">
        <x:v>Source summary</x:v>
      </x:c>
      <x:c r="G79" s="14" t="n">
        <x:v>0.78</x:v>
      </x:c>
      <x:c r="H79" s="12" t="str">
        <x:v>Equities</x:v>
      </x:c>
      <x:c r="I79" s="12" t="str">
        <x:v>Morningstar-covered equities</x:v>
      </x:c>
      <x:c r="J79" s="12" t="str">
        <x:v>Long source-native</x:v>
      </x:c>
      <x:c r="K79" s="12" t="str">
        <x:v>Yes</x:v>
      </x:c>
      <x:c r="L79" s="12" t="str">
        <x:v>Derived short</x:v>
      </x:c>
      <x:c r="M79" s="12" t="str">
        <x:v>Months</x:v>
      </x:c>
      <x:c r="N79" s="12" t="str">
        <x:v>Monthly/Quarterly</x:v>
      </x:c>
      <x:c r="O79" s="12" t="str">
        <x:v>Long stocks passing favorable fundamental filters/ranks.</x:v>
      </x:c>
      <x:c r="P79" s="12" t="str">
        <x:v>Derived: short lowest-ranked names.</x:v>
      </x:c>
      <x:c r="Q79" s="12" t="str">
        <x:v>Periodic rebalance.</x:v>
      </x:c>
      <x:c r="R79" s="12" t="str">
        <x:v>Fundamental fields and thresholds</x:v>
      </x:c>
      <x:c r="S79" s="12" t="str">
        <x:v>Point-in-time Morningstar-like fundamentals</x:v>
      </x:c>
      <x:c r="T79" s="12" t="str">
        <x:v>Vendor field definitions matter.</x:v>
      </x:c>
      <x:c r="U79" s="12" t="str">
        <x:v>Look-ahead, data availability</x:v>
      </x:c>
      <x:c r="V79" s="12" t="str">
        <x:v>Medium</x:v>
      </x:c>
      <x:c r="W79" s="12" t="str">
        <x:v>B</x:v>
      </x:c>
      <x:c r="X79" s="12" t="str">
        <x:v>https://www.quantconnect.com/learning/articles/investment-strategy-library</x:v>
      </x:c>
      <x:c r="Y79" s="12" t="str">
        <x:v>2026-10-07</x:v>
      </x:c>
      <x:c r="Z79" s="12" t="str">
        <x:v>Exact factors need article inspection.</x:v>
      </x:c>
    </x:row>
    <x:row r="80" ht="48" customHeight="1">
      <x:c r="A80" s="12" t="str">
        <x:v>EXT-079</x:v>
      </x:c>
      <x:c r="B80" s="12" t="str">
        <x:v>Fundamental Factor Long-Short</x:v>
      </x:c>
      <x:c r="C80" s="12" t="str">
        <x:v>Fundamental / Multi-Factor</x:v>
      </x:c>
      <x:c r="D80" s="12" t="str">
        <x:v>QuantConnect Strategy Library</x:v>
      </x:c>
      <x:c r="E80" s="12" t="str">
        <x:v>Strategy library</x:v>
      </x:c>
      <x:c r="F80" s="12" t="str">
        <x:v>Source summary</x:v>
      </x:c>
      <x:c r="G80" s="14" t="n">
        <x:v>0.78</x:v>
      </x:c>
      <x:c r="H80" s="12" t="str">
        <x:v>Equities</x:v>
      </x:c>
      <x:c r="I80" s="12" t="str">
        <x:v>Broad equities</x:v>
      </x:c>
      <x:c r="J80" s="12" t="str">
        <x:v>Long/Short</x:v>
      </x:c>
      <x:c r="K80" s="12" t="str">
        <x:v>Yes</x:v>
      </x:c>
      <x:c r="L80" s="12" t="str">
        <x:v>Yes</x:v>
      </x:c>
      <x:c r="M80" s="12" t="str">
        <x:v>Monthly</x:v>
      </x:c>
      <x:c r="N80" s="12" t="str">
        <x:v>Monthly</x:v>
      </x:c>
      <x:c r="O80" s="12" t="str">
        <x:v>Long high composite fundamental factor ranks.</x:v>
      </x:c>
      <x:c r="P80" s="12" t="str">
        <x:v>Short low ranks.</x:v>
      </x:c>
      <x:c r="Q80" s="12" t="str">
        <x:v>Monthly rebalance.</x:v>
      </x:c>
      <x:c r="R80" s="12" t="str">
        <x:v>Factor set; composite weights</x:v>
      </x:c>
      <x:c r="S80" s="12" t="str">
        <x:v>Point-in-time fundamentals</x:v>
      </x:c>
      <x:c r="T80" s="12" t="str">
        <x:v>Use original publication timestamps.</x:v>
      </x:c>
      <x:c r="U80" s="12" t="str">
        <x:v>Factor mining, turnover</x:v>
      </x:c>
      <x:c r="V80" s="12" t="str">
        <x:v>Medium</x:v>
      </x:c>
      <x:c r="W80" s="12" t="str">
        <x:v>A</x:v>
      </x:c>
      <x:c r="X80" s="12" t="str">
        <x:v>https://www.quantconnect.com/learning/articles/investment-strategy-library</x:v>
      </x:c>
      <x:c r="Y80" s="12" t="str">
        <x:v>2026-10-07</x:v>
      </x:c>
      <x:c r="Z80" s="12" t="str">
        <x:v>Source explicitly long-short.</x:v>
      </x:c>
    </x:row>
    <x:row r="81" ht="48" customHeight="1">
      <x:c r="A81" s="12" t="str">
        <x:v>EXT-080</x:v>
      </x:c>
      <x:c r="B81" s="12" t="str">
        <x:v>Forex Mean Reversion + Momentum</x:v>
      </x:c>
      <x:c r="C81" s="12" t="str">
        <x:v>Hybrid / FX</x:v>
      </x:c>
      <x:c r="D81" s="12" t="str">
        <x:v>QuantConnect Strategy Library</x:v>
      </x:c>
      <x:c r="E81" s="12" t="str">
        <x:v>Strategy library</x:v>
      </x:c>
      <x:c r="F81" s="12" t="str">
        <x:v>Source summary</x:v>
      </x:c>
      <x:c r="G81" s="14" t="n">
        <x:v>0.78</x:v>
      </x:c>
      <x:c r="H81" s="12" t="str">
        <x:v>FX</x:v>
      </x:c>
      <x:c r="I81" s="12" t="str">
        <x:v>Major/cross FX pairs</x:v>
      </x:c>
      <x:c r="J81" s="12" t="str">
        <x:v>Both</x:v>
      </x:c>
      <x:c r="K81" s="12" t="str">
        <x:v>Yes</x:v>
      </x:c>
      <x:c r="L81" s="12" t="str">
        <x:v>Yes</x:v>
      </x:c>
      <x:c r="M81" s="12" t="str">
        <x:v>Days-Months</x:v>
      </x:c>
      <x:c r="N81" s="12" t="str">
        <x:v>Daily</x:v>
      </x:c>
      <x:c r="O81" s="12" t="str">
        <x:v>Long when momentum and mean-reversion modules jointly signal upside or regime-selected module is bullish.</x:v>
      </x:c>
      <x:c r="P81" s="12" t="str">
        <x:v>Short on symmetric bearish condition.</x:v>
      </x:c>
      <x:c r="Q81" s="12" t="str">
        <x:v>Module reversal/periodic rebalance.</x:v>
      </x:c>
      <x:c r="R81" s="12" t="str">
        <x:v>Momentum window; MR deviation; regime combiner</x:v>
      </x:c>
      <x:c r="S81" s="12" t="str">
        <x:v>FX prices</x:v>
      </x:c>
      <x:c r="T81" s="12" t="str">
        <x:v>Separate combined vs regime-switch variants later.</x:v>
      </x:c>
      <x:c r="U81" s="12" t="str">
        <x:v>Overfit from combining signals</x:v>
      </x:c>
      <x:c r="V81" s="12" t="str">
        <x:v>Medium</x:v>
      </x:c>
      <x:c r="W81" s="12" t="str">
        <x:v>A</x:v>
      </x:c>
      <x:c r="X81" s="12" t="str">
        <x:v>https://www.quantconnect.com/learning/articles/investment-strategy-library</x:v>
      </x:c>
      <x:c r="Y81" s="12" t="str">
        <x:v>2026-10-07</x:v>
      </x:c>
      <x:c r="Z81" s="12" t="str">
        <x:v>High-level source summary.</x:v>
      </x:c>
    </x:row>
    <x:row r="82" ht="48" customHeight="1">
      <x:c r="A82" s="12" t="str">
        <x:v>EXT-081</x:v>
      </x:c>
      <x:c r="B82" s="12" t="str">
        <x:v>CAPM Alpha Ranking - Dow 30</x:v>
      </x:c>
      <x:c r="C82" s="12" t="str">
        <x:v>Factor / Alpha</x:v>
      </x:c>
      <x:c r="D82" s="12" t="str">
        <x:v>QuantConnect Strategy Library</x:v>
      </x:c>
      <x:c r="E82" s="12" t="str">
        <x:v>Strategy library</x:v>
      </x:c>
      <x:c r="F82" s="12" t="str">
        <x:v>Source summary</x:v>
      </x:c>
      <x:c r="G82" s="14" t="n">
        <x:v>0.9</x:v>
      </x:c>
      <x:c r="H82" s="12" t="str">
        <x:v>Equities</x:v>
      </x:c>
      <x:c r="I82" s="12" t="str">
        <x:v>Dow 30</x:v>
      </x:c>
      <x:c r="J82" s="12" t="str">
        <x:v>Long/Short candidate</x:v>
      </x:c>
      <x:c r="K82" s="12" t="str">
        <x:v>Yes</x:v>
      </x:c>
      <x:c r="L82" s="12" t="str">
        <x:v>Yes</x:v>
      </x:c>
      <x:c r="M82" s="12" t="str">
        <x:v>Months</x:v>
      </x:c>
      <x:c r="N82" s="12" t="str">
        <x:v>Monthly</x:v>
      </x:c>
      <x:c r="O82" s="12" t="str">
        <x:v>Long highest estimated CAPM alpha names.</x:v>
      </x:c>
      <x:c r="P82" s="12" t="str">
        <x:v>Short lowest alpha names.</x:v>
      </x:c>
      <x:c r="Q82" s="12" t="str">
        <x:v>Periodic rebalance.</x:v>
      </x:c>
      <x:c r="R82" s="12" t="str">
        <x:v>Estimation window; market benchmark</x:v>
      </x:c>
      <x:c r="S82" s="12" t="str">
        <x:v>Prices + risk-free rate</x:v>
      </x:c>
      <x:c r="T82" s="12" t="str">
        <x:v>Estimation noise significant with 30 names.</x:v>
      </x:c>
      <x:c r="U82" s="12" t="str">
        <x:v>Beta/alpha instability</x:v>
      </x:c>
      <x:c r="V82" s="12" t="str">
        <x:v>High</x:v>
      </x:c>
      <x:c r="W82" s="12" t="str">
        <x:v>B</x:v>
      </x:c>
      <x:c r="X82" s="12" t="str">
        <x:v>https://www.quantconnect.com/learning/articles/investment-strategy-library</x:v>
      </x:c>
      <x:c r="Y82" s="12" t="str">
        <x:v>2026-10-07</x:v>
      </x:c>
      <x:c r="Z82" s="12" t="str">
        <x:v>Source says rank; long/short treatment should be tested separately.</x:v>
      </x:c>
    </x:row>
    <x:row r="83" ht="48" customHeight="1">
      <x:c r="A83" s="12" t="str">
        <x:v>EXT-082</x:v>
      </x:c>
      <x:c r="B83" s="12" t="str">
        <x:v>Intraday Dynamic Pairs: Correlation + Cointegration</x:v>
      </x:c>
      <x:c r="C83" s="12" t="str">
        <x:v>Stat Arb / Pairs</x:v>
      </x:c>
      <x:c r="D83" s="12" t="str">
        <x:v>QuantConnect Strategy Library</x:v>
      </x:c>
      <x:c r="E83" s="12" t="str">
        <x:v>Strategy library</x:v>
      </x:c>
      <x:c r="F83" s="12" t="str">
        <x:v>Source summary</x:v>
      </x:c>
      <x:c r="G83" s="14" t="n">
        <x:v>0.78</x:v>
      </x:c>
      <x:c r="H83" s="12" t="str">
        <x:v>Equities</x:v>
      </x:c>
      <x:c r="I83" s="12" t="str">
        <x:v>Highly liquid pairs</x:v>
      </x:c>
      <x:c r="J83" s="12" t="str">
        <x:v>Market-neutral</x:v>
      </x:c>
      <x:c r="K83" s="12" t="str">
        <x:v>Yes</x:v>
      </x:c>
      <x:c r="L83" s="12" t="str">
        <x:v>Yes</x:v>
      </x:c>
      <x:c r="M83" s="12" t="str">
        <x:v>Intraday</x:v>
      </x:c>
      <x:c r="N83" s="12" t="str">
        <x:v>Intraday</x:v>
      </x:c>
      <x:c r="O83" s="12" t="str">
        <x:v>Long undervalued leg when cointegrated spread diverges intraday.</x:v>
      </x:c>
      <x:c r="P83" s="12" t="str">
        <x:v>Short overvalued leg.</x:v>
      </x:c>
      <x:c r="Q83" s="12" t="str">
        <x:v>Exit on convergence / end-of-day risk limit.</x:v>
      </x:c>
      <x:c r="R83" s="12" t="str">
        <x:v>Rolling correlation; cointegration; hedge ratio; z-score</x:v>
      </x:c>
      <x:c r="S83" s="12" t="str">
        <x:v>Synchronized intraday prices</x:v>
      </x:c>
      <x:c r="T83" s="12" t="str">
        <x:v>Avoid repeated stationarity testing leakage.</x:v>
      </x:c>
      <x:c r="U83" s="12" t="str">
        <x:v>Microstructure, relationship break</x:v>
      </x:c>
      <x:c r="V83" s="12" t="str">
        <x:v>Medium</x:v>
      </x:c>
      <x:c r="W83" s="12" t="str">
        <x:v>A</x:v>
      </x:c>
      <x:c r="X83" s="12" t="str">
        <x:v>https://www.quantconnect.com/learning/articles/investment-strategy-library</x:v>
      </x:c>
      <x:c r="Y83" s="12" t="str">
        <x:v>2026-10-07</x:v>
      </x:c>
      <x:c r="Z83" s="12" t="str">
        <x:v>Source describes high-frequency pairs.</x:v>
      </x:c>
    </x:row>
    <x:row r="84" ht="48" customHeight="1">
      <x:c r="A84" s="12" t="str">
        <x:v>EXT-083</x:v>
      </x:c>
      <x:c r="B84" s="12" t="str">
        <x:v>Short-Term Reversal Strategy in Stocks</x:v>
      </x:c>
      <x:c r="C84" s="12" t="str">
        <x:v>Reversal / Price Action</x:v>
      </x:c>
      <x:c r="D84" s="12" t="str">
        <x:v>QuantConnect Strategy Library</x:v>
      </x:c>
      <x:c r="E84" s="12" t="str">
        <x:v>Strategy library</x:v>
      </x:c>
      <x:c r="F84" s="12" t="str">
        <x:v>Source summary</x:v>
      </x:c>
      <x:c r="G84" s="14" t="n">
        <x:v>0.9</x:v>
      </x:c>
      <x:c r="H84" s="12" t="str">
        <x:v>Equities</x:v>
      </x:c>
      <x:c r="I84" s="12" t="str">
        <x:v>Broad equities</x:v>
      </x:c>
      <x:c r="J84" s="12" t="str">
        <x:v>Both</x:v>
      </x:c>
      <x:c r="K84" s="12" t="str">
        <x:v>Yes</x:v>
      </x:c>
      <x:c r="L84" s="12" t="str">
        <x:v>Yes</x:v>
      </x:c>
      <x:c r="M84" s="12" t="str">
        <x:v>Days-Weeks</x:v>
      </x:c>
      <x:c r="N84" s="12" t="str">
        <x:v>Daily</x:v>
      </x:c>
      <x:c r="O84" s="12" t="str">
        <x:v>Long after sufficiently negative recent price action.</x:v>
      </x:c>
      <x:c r="P84" s="12" t="str">
        <x:v>Short after sufficiently positive recent price action.</x:v>
      </x:c>
      <x:c r="Q84" s="12" t="str">
        <x:v>Opposite/reversion/time exit.</x:v>
      </x:c>
      <x:c r="R84" s="12" t="str">
        <x:v>Recent return window; thresholds</x:v>
      </x:c>
      <x:c r="S84" s="12" t="str">
        <x:v>Prices</x:v>
      </x:c>
      <x:c r="T84" s="12" t="str">
        <x:v>Define signal lag exactly.</x:v>
      </x:c>
      <x:c r="U84" s="12" t="str">
        <x:v>Costs, distress, trend regimes</x:v>
      </x:c>
      <x:c r="V84" s="12" t="str">
        <x:v>High</x:v>
      </x:c>
      <x:c r="W84" s="12" t="str">
        <x:v>A</x:v>
      </x:c>
      <x:c r="X84" s="12" t="str">
        <x:v>https://www.quantconnect.com/learning/articles/investment-strategy-library</x:v>
      </x:c>
      <x:c r="Y84" s="12" t="str">
        <x:v>2026-10-07</x:v>
      </x:c>
      <x:c r="Z84" s="12" t="str">
        <x:v>Source summary says opposite signal from recent action.</x:v>
      </x:c>
    </x:row>
    <x:row r="85" ht="48" customHeight="1">
      <x:c r="A85" s="12" t="str">
        <x:v>EXT-084</x:v>
      </x:c>
      <x:c r="B85" s="12" t="str">
        <x:v>Aroon Crossover Delivery</x:v>
      </x:c>
      <x:c r="C85" s="12" t="str">
        <x:v>Trend / Aroon</x:v>
      </x:c>
      <x:c r="D85" s="12" t="str">
        <x:v>AlgoBulls pyalgostrategypool (GitHub)</x:v>
      </x:c>
      <x:c r="E85" s="12" t="str">
        <x:v>Open-source code</x:v>
      </x:c>
      <x:c r="F85" s="12" t="str">
        <x:v>Repository implementation; summary normalized from name/excerpts</x:v>
      </x:c>
      <x:c r="G85" s="14" t="n">
        <x:v>0.84</x:v>
      </x:c>
      <x:c r="H85" s="12" t="str">
        <x:v>Equities</x:v>
      </x:c>
      <x:c r="I85" s="12" t="str">
        <x:v>Liquid OHLCV instruments</x:v>
      </x:c>
      <x:c r="J85" s="12" t="str">
        <x:v>Both</x:v>
      </x:c>
      <x:c r="K85" s="12" t="str">
        <x:v>Yes</x:v>
      </x:c>
      <x:c r="L85" s="12" t="str">
        <x:v>Yes</x:v>
      </x:c>
      <x:c r="M85" s="12" t="str">
        <x:v>Swing</x:v>
      </x:c>
      <x:c r="N85" s="12" t="str">
        <x:v>Daily/Intraday</x:v>
      </x:c>
      <x:c r="O85" s="12" t="str">
        <x:v>Long when Aroon Up crosses above Aroon Down.</x:v>
      </x:c>
      <x:c r="P85" s="12" t="str">
        <x:v>Short on downward mirror crossover.</x:v>
      </x:c>
      <x:c r="Q85" s="12" t="str">
        <x:v>Reverse crossover.</x:v>
      </x:c>
      <x:c r="R85" s="12" t="str">
        <x:v>Aroon lookback</x:v>
      </x:c>
      <x:c r="S85" s="12" t="str">
        <x:v>OHLCV</x:v>
      </x:c>
      <x:c r="T85" s="12" t="str">
        <x:v>Inspect exact code before implementation; reproduce signal on independent data.</x:v>
      </x:c>
      <x:c r="U85" s="12" t="str">
        <x:v>Repository defaults may be framework-specific; source is not evidence of edge.</x:v>
      </x:c>
      <x:c r="V85" s="12" t="str">
        <x:v>High</x:v>
      </x:c>
      <x:c r="W85" s="12" t="str">
        <x:v>A</x:v>
      </x:c>
      <x:c r="X85" s="12" t="str">
        <x:v>https://github.com/algobulls/pyalgostrategypool/tree/master/pyalgostrategypool/strategy_aroon_crossover_delivery</x:v>
      </x:c>
      <x:c r="Y85" s="12" t="str">
        <x:v>2026-10-07</x:v>
      </x:c>
      <x:c r="Z85" s="12" t="str">
        <x:v>Exact repository implementation and parameter defaults must be inspected before executable MQD registration.</x:v>
      </x:c>
    </x:row>
    <x:row r="86" ht="48" customHeight="1">
      <x:c r="A86" s="12" t="str">
        <x:v>EXT-085</x:v>
      </x:c>
      <x:c r="B86" s="12" t="str">
        <x:v>Aroon Crossover Intraday</x:v>
      </x:c>
      <x:c r="C86" s="12" t="str">
        <x:v>Trend / Aroon</x:v>
      </x:c>
      <x:c r="D86" s="12" t="str">
        <x:v>AlgoBulls pyalgostrategypool (GitHub)</x:v>
      </x:c>
      <x:c r="E86" s="12" t="str">
        <x:v>Open-source code</x:v>
      </x:c>
      <x:c r="F86" s="12" t="str">
        <x:v>Repository implementation; summary normalized from name/excerpts</x:v>
      </x:c>
      <x:c r="G86" s="14" t="n">
        <x:v>0.84</x:v>
      </x:c>
      <x:c r="H86" s="12" t="str">
        <x:v>Equities</x:v>
      </x:c>
      <x:c r="I86" s="12" t="str">
        <x:v>Liquid OHLCV instruments</x:v>
      </x:c>
      <x:c r="J86" s="12" t="str">
        <x:v>Both</x:v>
      </x:c>
      <x:c r="K86" s="12" t="str">
        <x:v>Yes</x:v>
      </x:c>
      <x:c r="L86" s="12" t="str">
        <x:v>Yes</x:v>
      </x:c>
      <x:c r="M86" s="12" t="str">
        <x:v>Intraday</x:v>
      </x:c>
      <x:c r="N86" s="12" t="str">
        <x:v>Intraday</x:v>
      </x:c>
      <x:c r="O86" s="12" t="str">
        <x:v>Long when Aroon Up crosses above Aroon Down.</x:v>
      </x:c>
      <x:c r="P86" s="12" t="str">
        <x:v>Short on downward mirror crossover.</x:v>
      </x:c>
      <x:c r="Q86" s="12" t="str">
        <x:v>Reverse crossover.</x:v>
      </x:c>
      <x:c r="R86" s="12" t="str">
        <x:v>Aroon lookback</x:v>
      </x:c>
      <x:c r="S86" s="12" t="str">
        <x:v>OHLCV</x:v>
      </x:c>
      <x:c r="T86" s="12" t="str">
        <x:v>Inspect exact code before implementation; reproduce signal on independent data.</x:v>
      </x:c>
      <x:c r="U86" s="12" t="str">
        <x:v>Repository defaults may be framework-specific; source is not evidence of edge.</x:v>
      </x:c>
      <x:c r="V86" s="12" t="str">
        <x:v>High</x:v>
      </x:c>
      <x:c r="W86" s="12" t="str">
        <x:v>A</x:v>
      </x:c>
      <x:c r="X86" s="12" t="str">
        <x:v>https://github.com/algobulls/pyalgostrategypool/tree/master/pyalgostrategypool/strategy_aroon_crossover_intraday</x:v>
      </x:c>
      <x:c r="Y86" s="12" t="str">
        <x:v>2026-10-07</x:v>
      </x:c>
      <x:c r="Z86" s="12" t="str">
        <x:v>Exact repository implementation and parameter defaults must be inspected before executable MQD registration.</x:v>
      </x:c>
    </x:row>
    <x:row r="87" ht="48" customHeight="1">
      <x:c r="A87" s="12" t="str">
        <x:v>EXT-086</x:v>
      </x:c>
      <x:c r="B87" s="12" t="str">
        <x:v>Bollinger Bands Delivery</x:v>
      </x:c>
      <x:c r="C87" s="12" t="str">
        <x:v>Mean Reversion / Bollinger</x:v>
      </x:c>
      <x:c r="D87" s="12" t="str">
        <x:v>AlgoBulls pyalgostrategypool (GitHub)</x:v>
      </x:c>
      <x:c r="E87" s="12" t="str">
        <x:v>Open-source code</x:v>
      </x:c>
      <x:c r="F87" s="12" t="str">
        <x:v>Repository implementation; summary normalized from name/excerpts</x:v>
      </x:c>
      <x:c r="G87" s="14" t="n">
        <x:v>0.84</x:v>
      </x:c>
      <x:c r="H87" s="12" t="str">
        <x:v>Equities</x:v>
      </x:c>
      <x:c r="I87" s="12" t="str">
        <x:v>Liquid OHLCV instruments</x:v>
      </x:c>
      <x:c r="J87" s="12" t="str">
        <x:v>Both</x:v>
      </x:c>
      <x:c r="K87" s="12" t="str">
        <x:v>Yes</x:v>
      </x:c>
      <x:c r="L87" s="12" t="str">
        <x:v>Yes</x:v>
      </x:c>
      <x:c r="M87" s="12" t="str">
        <x:v>Swing</x:v>
      </x:c>
      <x:c r="N87" s="12" t="str">
        <x:v>Daily/Intraday</x:v>
      </x:c>
      <x:c r="O87" s="12" t="str">
        <x:v>Long on rebound/re-entry from lower Bollinger Band.</x:v>
      </x:c>
      <x:c r="P87" s="12" t="str">
        <x:v>Short on rejection/re-entry from upper Bollinger Band.</x:v>
      </x:c>
      <x:c r="Q87" s="12" t="str">
        <x:v>Mean/reverse-band or reverse signal.</x:v>
      </x:c>
      <x:c r="R87" s="12" t="str">
        <x:v>BB length/std</x:v>
      </x:c>
      <x:c r="S87" s="12" t="str">
        <x:v>OHLCV</x:v>
      </x:c>
      <x:c r="T87" s="12" t="str">
        <x:v>Inspect exact code before implementation; reproduce signal on independent data.</x:v>
      </x:c>
      <x:c r="U87" s="12" t="str">
        <x:v>Repository defaults may be framework-specific; source is not evidence of edge.</x:v>
      </x:c>
      <x:c r="V87" s="12" t="str">
        <x:v>High</x:v>
      </x:c>
      <x:c r="W87" s="12" t="str">
        <x:v>A</x:v>
      </x:c>
      <x:c r="X87" s="12" t="str">
        <x:v>https://github.com/algobulls/pyalgostrategypool/tree/master/pyalgostrategypool/strategy_bollinger_bands_delivery</x:v>
      </x:c>
      <x:c r="Y87" s="12" t="str">
        <x:v>2026-10-07</x:v>
      </x:c>
      <x:c r="Z87" s="12" t="str">
        <x:v>Exact repository implementation and parameter defaults must be inspected before executable MQD registration.</x:v>
      </x:c>
    </x:row>
    <x:row r="88" ht="48" customHeight="1">
      <x:c r="A88" s="12" t="str">
        <x:v>EXT-087</x:v>
      </x:c>
      <x:c r="B88" s="12" t="str">
        <x:v>Bollinger Bands Intraday</x:v>
      </x:c>
      <x:c r="C88" s="12" t="str">
        <x:v>Mean Reversion / Bollinger</x:v>
      </x:c>
      <x:c r="D88" s="12" t="str">
        <x:v>AlgoBulls pyalgostrategypool (GitHub)</x:v>
      </x:c>
      <x:c r="E88" s="12" t="str">
        <x:v>Open-source code</x:v>
      </x:c>
      <x:c r="F88" s="12" t="str">
        <x:v>Repository implementation; summary normalized from name/excerpts</x:v>
      </x:c>
      <x:c r="G88" s="14" t="n">
        <x:v>0.84</x:v>
      </x:c>
      <x:c r="H88" s="12" t="str">
        <x:v>Equities</x:v>
      </x:c>
      <x:c r="I88" s="12" t="str">
        <x:v>Liquid OHLCV instruments</x:v>
      </x:c>
      <x:c r="J88" s="12" t="str">
        <x:v>Both</x:v>
      </x:c>
      <x:c r="K88" s="12" t="str">
        <x:v>Yes</x:v>
      </x:c>
      <x:c r="L88" s="12" t="str">
        <x:v>Yes</x:v>
      </x:c>
      <x:c r="M88" s="12" t="str">
        <x:v>Intraday</x:v>
      </x:c>
      <x:c r="N88" s="12" t="str">
        <x:v>Intraday</x:v>
      </x:c>
      <x:c r="O88" s="12" t="str">
        <x:v>Long on rebound/re-entry from lower Bollinger Band.</x:v>
      </x:c>
      <x:c r="P88" s="12" t="str">
        <x:v>Short on rejection/re-entry from upper Bollinger Band.</x:v>
      </x:c>
      <x:c r="Q88" s="12" t="str">
        <x:v>Mean/reverse-band or reverse signal.</x:v>
      </x:c>
      <x:c r="R88" s="12" t="str">
        <x:v>BB length/std</x:v>
      </x:c>
      <x:c r="S88" s="12" t="str">
        <x:v>OHLCV</x:v>
      </x:c>
      <x:c r="T88" s="12" t="str">
        <x:v>Inspect exact code before implementation; reproduce signal on independent data.</x:v>
      </x:c>
      <x:c r="U88" s="12" t="str">
        <x:v>Repository defaults may be framework-specific; source is not evidence of edge.</x:v>
      </x:c>
      <x:c r="V88" s="12" t="str">
        <x:v>High</x:v>
      </x:c>
      <x:c r="W88" s="12" t="str">
        <x:v>A</x:v>
      </x:c>
      <x:c r="X88" s="12" t="str">
        <x:v>https://github.com/algobulls/pyalgostrategypool/tree/master/pyalgostrategypool/strategy_bollinger_bands_intraday</x:v>
      </x:c>
      <x:c r="Y88" s="12" t="str">
        <x:v>2026-10-07</x:v>
      </x:c>
      <x:c r="Z88" s="12" t="str">
        <x:v>Exact repository implementation and parameter defaults must be inspected before executable MQD registration.</x:v>
      </x:c>
    </x:row>
    <x:row r="89" ht="48" customHeight="1">
      <x:c r="A89" s="12" t="str">
        <x:v>EXT-088</x:v>
      </x:c>
      <x:c r="B89" s="12" t="str">
        <x:v>Bollinger Connors RSI Mean Reversion Intraday</x:v>
      </x:c>
      <x:c r="C89" s="12" t="str">
        <x:v>Mean Reversion / Bollinger+Connors RSI</x:v>
      </x:c>
      <x:c r="D89" s="12" t="str">
        <x:v>AlgoBulls pyalgostrategypool (GitHub)</x:v>
      </x:c>
      <x:c r="E89" s="12" t="str">
        <x:v>Open-source code</x:v>
      </x:c>
      <x:c r="F89" s="12" t="str">
        <x:v>Repository implementation; summary normalized from name/excerpts</x:v>
      </x:c>
      <x:c r="G89" s="14" t="n">
        <x:v>0.84</x:v>
      </x:c>
      <x:c r="H89" s="12" t="str">
        <x:v>Equities</x:v>
      </x:c>
      <x:c r="I89" s="12" t="str">
        <x:v>Liquid OHLCV instruments</x:v>
      </x:c>
      <x:c r="J89" s="12" t="str">
        <x:v>Both</x:v>
      </x:c>
      <x:c r="K89" s="12" t="str">
        <x:v>Yes</x:v>
      </x:c>
      <x:c r="L89" s="12" t="str">
        <x:v>Yes</x:v>
      </x:c>
      <x:c r="M89" s="12" t="str">
        <x:v>Intraday</x:v>
      </x:c>
      <x:c r="N89" s="12" t="str">
        <x:v>Intraday</x:v>
      </x:c>
      <x:c r="O89" s="12" t="str">
        <x:v>Long near/lower Bollinger extreme with low Connors RSI.</x:v>
      </x:c>
      <x:c r="P89" s="12" t="str">
        <x:v>Short near/upper Bollinger extreme with high Connors RSI.</x:v>
      </x:c>
      <x:c r="Q89" s="12" t="str">
        <x:v>Connors RSI/Bollinger mean-reversion exit per source.</x:v>
      </x:c>
      <x:c r="R89" s="12" t="str">
        <x:v>BB length/std; Connors RSI thresholds</x:v>
      </x:c>
      <x:c r="S89" s="12" t="str">
        <x:v>OHLCV</x:v>
      </x:c>
      <x:c r="T89" s="12" t="str">
        <x:v>Inspect exact code before implementation; reproduce signal on independent data.</x:v>
      </x:c>
      <x:c r="U89" s="12" t="str">
        <x:v>Repository defaults may be framework-specific; source is not evidence of edge.</x:v>
      </x:c>
      <x:c r="V89" s="12" t="str">
        <x:v>Medium</x:v>
      </x:c>
      <x:c r="W89" s="12" t="str">
        <x:v>B</x:v>
      </x:c>
      <x:c r="X89" s="12" t="str">
        <x:v>https://github.com/algobulls/pyalgostrategypool/tree/master/pyalgostrategypool/strategy_bollinger_connors_rsi_mean_reversion_Intraday</x:v>
      </x:c>
      <x:c r="Y89" s="12" t="str">
        <x:v>2026-10-07</x:v>
      </x:c>
      <x:c r="Z89" s="12" t="str">
        <x:v>Exact repository implementation and parameter defaults must be inspected before executable MQD registration.</x:v>
      </x:c>
    </x:row>
    <x:row r="90" ht="48" customHeight="1">
      <x:c r="A90" s="12" t="str">
        <x:v>EXT-089</x:v>
      </x:c>
      <x:c r="B90" s="12" t="str">
        <x:v>Chandelier Exit Trend With EMA Intraday</x:v>
      </x:c>
      <x:c r="C90" s="12" t="str">
        <x:v>Trend / Chandelier</x:v>
      </x:c>
      <x:c r="D90" s="12" t="str">
        <x:v>AlgoBulls pyalgostrategypool (GitHub)</x:v>
      </x:c>
      <x:c r="E90" s="12" t="str">
        <x:v>Open-source code</x:v>
      </x:c>
      <x:c r="F90" s="12" t="str">
        <x:v>Repository implementation; summary normalized from name/excerpts</x:v>
      </x:c>
      <x:c r="G90" s="14" t="n">
        <x:v>0.84</x:v>
      </x:c>
      <x:c r="H90" s="12" t="str">
        <x:v>Equities</x:v>
      </x:c>
      <x:c r="I90" s="12" t="str">
        <x:v>Liquid OHLCV instruments</x:v>
      </x:c>
      <x:c r="J90" s="12" t="str">
        <x:v>Both</x:v>
      </x:c>
      <x:c r="K90" s="12" t="str">
        <x:v>Yes</x:v>
      </x:c>
      <x:c r="L90" s="12" t="str">
        <x:v>Yes</x:v>
      </x:c>
      <x:c r="M90" s="12" t="str">
        <x:v>Intraday</x:v>
      </x:c>
      <x:c r="N90" s="12" t="str">
        <x:v>Intraday</x:v>
      </x:c>
      <x:c r="O90" s="12" t="str">
        <x:v>Long EMA-aligned uptrend; manage with Chandelier/ATR trailing exit.</x:v>
      </x:c>
      <x:c r="P90" s="12" t="str">
        <x:v>Short EMA-aligned downtrend; mirror Chandelier exit.</x:v>
      </x:c>
      <x:c r="Q90" s="12" t="str">
        <x:v>Chandelier trend flip/trailing stop.</x:v>
      </x:c>
      <x:c r="R90" s="12" t="str">
        <x:v>EMA; ATR; Chandelier multiplier</x:v>
      </x:c>
      <x:c r="S90" s="12" t="str">
        <x:v>OHLCV</x:v>
      </x:c>
      <x:c r="T90" s="12" t="str">
        <x:v>Inspect exact code before implementation; reproduce signal on independent data.</x:v>
      </x:c>
      <x:c r="U90" s="12" t="str">
        <x:v>Repository defaults may be framework-specific; source is not evidence of edge.</x:v>
      </x:c>
      <x:c r="V90" s="12" t="str">
        <x:v>Medium</x:v>
      </x:c>
      <x:c r="W90" s="12" t="str">
        <x:v>B</x:v>
      </x:c>
      <x:c r="X90" s="12" t="str">
        <x:v>https://github.com/algobulls/pyalgostrategypool/tree/master/pyalgostrategypool/strategy_chandelier_exit_trend_with_ema_Intraday</x:v>
      </x:c>
      <x:c r="Y90" s="12" t="str">
        <x:v>2026-10-07</x:v>
      </x:c>
      <x:c r="Z90" s="12" t="str">
        <x:v>Exact repository implementation and parameter defaults must be inspected before executable MQD registration.</x:v>
      </x:c>
    </x:row>
    <x:row r="91" ht="48" customHeight="1">
      <x:c r="A91" s="12" t="str">
        <x:v>EXT-090</x:v>
      </x:c>
      <x:c r="B91" s="12" t="str">
        <x:v>EMA ADX Heikinashi Trend Intraday</x:v>
      </x:c>
      <x:c r="C91" s="12" t="str">
        <x:v>Trend / EMA+ADX+Heikin Ashi</x:v>
      </x:c>
      <x:c r="D91" s="12" t="str">
        <x:v>AlgoBulls pyalgostrategypool (GitHub)</x:v>
      </x:c>
      <x:c r="E91" s="12" t="str">
        <x:v>Open-source code</x:v>
      </x:c>
      <x:c r="F91" s="12" t="str">
        <x:v>Repository implementation; summary normalized from name/excerpts</x:v>
      </x:c>
      <x:c r="G91" s="14" t="n">
        <x:v>0.84</x:v>
      </x:c>
      <x:c r="H91" s="12" t="str">
        <x:v>Equities</x:v>
      </x:c>
      <x:c r="I91" s="12" t="str">
        <x:v>Liquid OHLCV instruments</x:v>
      </x:c>
      <x:c r="J91" s="12" t="str">
        <x:v>Both</x:v>
      </x:c>
      <x:c r="K91" s="12" t="str">
        <x:v>Yes</x:v>
      </x:c>
      <x:c r="L91" s="12" t="str">
        <x:v>Yes</x:v>
      </x:c>
      <x:c r="M91" s="12" t="str">
        <x:v>Intraday</x:v>
      </x:c>
      <x:c r="N91" s="12" t="str">
        <x:v>Intraday</x:v>
      </x:c>
      <x:c r="O91" s="12" t="str">
        <x:v>Long when EMA trend, strong ADX, and bullish Heikin-Ashi align.</x:v>
      </x:c>
      <x:c r="P91" s="12" t="str">
        <x:v>Short on bearish mirror alignment.</x:v>
      </x:c>
      <x:c r="Q91" s="12" t="str">
        <x:v>Signal reversal / risk stop.</x:v>
      </x:c>
      <x:c r="R91" s="12" t="str">
        <x:v>EMA; ADX length/threshold; HA condition</x:v>
      </x:c>
      <x:c r="S91" s="12" t="str">
        <x:v>OHLCV</x:v>
      </x:c>
      <x:c r="T91" s="12" t="str">
        <x:v>Inspect exact code before implementation; reproduce signal on independent data.</x:v>
      </x:c>
      <x:c r="U91" s="12" t="str">
        <x:v>Repository defaults may be framework-specific; source is not evidence of edge.</x:v>
      </x:c>
      <x:c r="V91" s="12" t="str">
        <x:v>Medium</x:v>
      </x:c>
      <x:c r="W91" s="12" t="str">
        <x:v>B</x:v>
      </x:c>
      <x:c r="X91" s="12" t="str">
        <x:v>https://github.com/algobulls/pyalgostrategypool/tree/master/pyalgostrategypool/strategy_ema_adx_heikinashi_trend_Intraday</x:v>
      </x:c>
      <x:c r="Y91" s="12" t="str">
        <x:v>2026-10-07</x:v>
      </x:c>
      <x:c r="Z91" s="12" t="str">
        <x:v>Exact repository implementation and parameter defaults must be inspected before executable MQD registration.</x:v>
      </x:c>
    </x:row>
    <x:row r="92" ht="48" customHeight="1">
      <x:c r="A92" s="12" t="str">
        <x:v>EXT-091</x:v>
      </x:c>
      <x:c r="B92" s="12" t="str">
        <x:v>EMA Regular Order Delivery</x:v>
      </x:c>
      <x:c r="C92" s="12" t="str">
        <x:v>Trend / EMA Crossover</x:v>
      </x:c>
      <x:c r="D92" s="12" t="str">
        <x:v>AlgoBulls pyalgostrategypool (GitHub)</x:v>
      </x:c>
      <x:c r="E92" s="12" t="str">
        <x:v>Open-source code</x:v>
      </x:c>
      <x:c r="F92" s="12" t="str">
        <x:v>Repository implementation; summary normalized from name/excerpts</x:v>
      </x:c>
      <x:c r="G92" s="14" t="n">
        <x:v>0.84</x:v>
      </x:c>
      <x:c r="H92" s="12" t="str">
        <x:v>Equities</x:v>
      </x:c>
      <x:c r="I92" s="12" t="str">
        <x:v>Liquid OHLCV instruments</x:v>
      </x:c>
      <x:c r="J92" s="12" t="str">
        <x:v>Both</x:v>
      </x:c>
      <x:c r="K92" s="12" t="str">
        <x:v>Yes</x:v>
      </x:c>
      <x:c r="L92" s="12" t="str">
        <x:v>Yes</x:v>
      </x:c>
      <x:c r="M92" s="12" t="str">
        <x:v>Swing</x:v>
      </x:c>
      <x:c r="N92" s="12" t="str">
        <x:v>Daily/Intraday</x:v>
      </x:c>
      <x:c r="O92" s="12" t="str">
        <x:v>Long when fast EMA crosses above slow EMA.</x:v>
      </x:c>
      <x:c r="P92" s="12" t="str">
        <x:v>Short when fast EMA crosses below slow EMA.</x:v>
      </x:c>
      <x:c r="Q92" s="12" t="str">
        <x:v>Reverse crossover.</x:v>
      </x:c>
      <x:c r="R92" s="12" t="str">
        <x:v>Fast/slow EMA</x:v>
      </x:c>
      <x:c r="S92" s="12" t="str">
        <x:v>OHLCV</x:v>
      </x:c>
      <x:c r="T92" s="12" t="str">
        <x:v>Inspect exact code before implementation; reproduce signal on independent data.</x:v>
      </x:c>
      <x:c r="U92" s="12" t="str">
        <x:v>Repository defaults may be framework-specific; source is not evidence of edge.</x:v>
      </x:c>
      <x:c r="V92" s="12" t="str">
        <x:v>High</x:v>
      </x:c>
      <x:c r="W92" s="12" t="str">
        <x:v>A</x:v>
      </x:c>
      <x:c r="X92" s="12" t="str">
        <x:v>https://github.com/algobulls/pyalgostrategypool/tree/master/pyalgostrategypool/strategy_ema_regular_order_delivery</x:v>
      </x:c>
      <x:c r="Y92" s="12" t="str">
        <x:v>2026-10-07</x:v>
      </x:c>
      <x:c r="Z92" s="12" t="str">
        <x:v>Exact repository implementation and parameter defaults must be inspected before executable MQD registration.</x:v>
      </x:c>
    </x:row>
    <x:row r="93" ht="48" customHeight="1">
      <x:c r="A93" s="12" t="str">
        <x:v>EXT-092</x:v>
      </x:c>
      <x:c r="B93" s="12" t="str">
        <x:v>EMA Regular Order Intraday</x:v>
      </x:c>
      <x:c r="C93" s="12" t="str">
        <x:v>Trend / EMA Crossover</x:v>
      </x:c>
      <x:c r="D93" s="12" t="str">
        <x:v>AlgoBulls pyalgostrategypool (GitHub)</x:v>
      </x:c>
      <x:c r="E93" s="12" t="str">
        <x:v>Open-source code</x:v>
      </x:c>
      <x:c r="F93" s="12" t="str">
        <x:v>Repository implementation; summary normalized from name/excerpts</x:v>
      </x:c>
      <x:c r="G93" s="14" t="n">
        <x:v>0.84</x:v>
      </x:c>
      <x:c r="H93" s="12" t="str">
        <x:v>Equities</x:v>
      </x:c>
      <x:c r="I93" s="12" t="str">
        <x:v>Liquid OHLCV instruments</x:v>
      </x:c>
      <x:c r="J93" s="12" t="str">
        <x:v>Both</x:v>
      </x:c>
      <x:c r="K93" s="12" t="str">
        <x:v>Yes</x:v>
      </x:c>
      <x:c r="L93" s="12" t="str">
        <x:v>Yes</x:v>
      </x:c>
      <x:c r="M93" s="12" t="str">
        <x:v>Intraday</x:v>
      </x:c>
      <x:c r="N93" s="12" t="str">
        <x:v>Intraday</x:v>
      </x:c>
      <x:c r="O93" s="12" t="str">
        <x:v>Long when fast EMA crosses above slow EMA.</x:v>
      </x:c>
      <x:c r="P93" s="12" t="str">
        <x:v>Short when fast EMA crosses below slow EMA.</x:v>
      </x:c>
      <x:c r="Q93" s="12" t="str">
        <x:v>Reverse crossover.</x:v>
      </x:c>
      <x:c r="R93" s="12" t="str">
        <x:v>Fast/slow EMA</x:v>
      </x:c>
      <x:c r="S93" s="12" t="str">
        <x:v>OHLCV</x:v>
      </x:c>
      <x:c r="T93" s="12" t="str">
        <x:v>Inspect exact code before implementation; reproduce signal on independent data.</x:v>
      </x:c>
      <x:c r="U93" s="12" t="str">
        <x:v>Repository defaults may be framework-specific; source is not evidence of edge.</x:v>
      </x:c>
      <x:c r="V93" s="12" t="str">
        <x:v>High</x:v>
      </x:c>
      <x:c r="W93" s="12" t="str">
        <x:v>A</x:v>
      </x:c>
      <x:c r="X93" s="12" t="str">
        <x:v>https://github.com/algobulls/pyalgostrategypool/tree/master/pyalgostrategypool/strategy_ema_regular_order_intraday</x:v>
      </x:c>
      <x:c r="Y93" s="12" t="str">
        <x:v>2026-10-07</x:v>
      </x:c>
      <x:c r="Z93" s="12" t="str">
        <x:v>Exact repository implementation and parameter defaults must be inspected before executable MQD registration.</x:v>
      </x:c>
    </x:row>
    <x:row r="94" ht="48" customHeight="1">
      <x:c r="A94" s="12" t="str">
        <x:v>EXT-093</x:v>
      </x:c>
      <x:c r="B94" s="12" t="str">
        <x:v>Inverse EMA Scalping Regular Order Delivery</x:v>
      </x:c>
      <x:c r="C94" s="12" t="str">
        <x:v>Contrarian / EMA</x:v>
      </x:c>
      <x:c r="D94" s="12" t="str">
        <x:v>AlgoBulls pyalgostrategypool (GitHub)</x:v>
      </x:c>
      <x:c r="E94" s="12" t="str">
        <x:v>Open-source code</x:v>
      </x:c>
      <x:c r="F94" s="12" t="str">
        <x:v>Repository implementation; summary normalized from name/excerpts</x:v>
      </x:c>
      <x:c r="G94" s="14" t="n">
        <x:v>0.84</x:v>
      </x:c>
      <x:c r="H94" s="12" t="str">
        <x:v>Equities</x:v>
      </x:c>
      <x:c r="I94" s="12" t="str">
        <x:v>Liquid OHLCV instruments</x:v>
      </x:c>
      <x:c r="J94" s="12" t="str">
        <x:v>Both</x:v>
      </x:c>
      <x:c r="K94" s="12" t="str">
        <x:v>Yes</x:v>
      </x:c>
      <x:c r="L94" s="12" t="str">
        <x:v>Yes</x:v>
      </x:c>
      <x:c r="M94" s="12" t="str">
        <x:v>Swing</x:v>
      </x:c>
      <x:c r="N94" s="12" t="str">
        <x:v>Daily/Intraday</x:v>
      </x:c>
      <x:c r="O94" s="12" t="str">
        <x:v>Contrarian long when shorter EMA crosses below longer EMA.</x:v>
      </x:c>
      <x:c r="P94" s="12" t="str">
        <x:v>Contrarian short when shorter EMA crosses above longer EMA.</x:v>
      </x:c>
      <x:c r="Q94" s="12" t="str">
        <x:v>Subsequent crossover.</x:v>
      </x:c>
      <x:c r="R94" s="12" t="str">
        <x:v>Fast/slow EMA</x:v>
      </x:c>
      <x:c r="S94" s="12" t="str">
        <x:v>OHLCV</x:v>
      </x:c>
      <x:c r="T94" s="12" t="str">
        <x:v>Inspect exact code before implementation; reproduce signal on independent data.</x:v>
      </x:c>
      <x:c r="U94" s="12" t="str">
        <x:v>Repository defaults may be framework-specific; source is not evidence of edge.</x:v>
      </x:c>
      <x:c r="V94" s="12" t="str">
        <x:v>High</x:v>
      </x:c>
      <x:c r="W94" s="12" t="str">
        <x:v>B</x:v>
      </x:c>
      <x:c r="X94" s="12" t="str">
        <x:v>https://github.com/algobulls/pyalgostrategypool/tree/master/pyalgostrategypool/strategy_inverse_ema_scalping_regular_order_delivery</x:v>
      </x:c>
      <x:c r="Y94" s="12" t="str">
        <x:v>2026-10-07</x:v>
      </x:c>
      <x:c r="Z94" s="12" t="str">
        <x:v>Exact repository implementation and parameter defaults must be inspected before executable MQD registration.</x:v>
      </x:c>
    </x:row>
    <x:row r="95" ht="48" customHeight="1">
      <x:c r="A95" s="12" t="str">
        <x:v>EXT-094</x:v>
      </x:c>
      <x:c r="B95" s="12" t="str">
        <x:v>Inverse EMA Scalping Regular Order Intraday</x:v>
      </x:c>
      <x:c r="C95" s="12" t="str">
        <x:v>Contrarian / EMA</x:v>
      </x:c>
      <x:c r="D95" s="12" t="str">
        <x:v>AlgoBulls pyalgostrategypool (GitHub)</x:v>
      </x:c>
      <x:c r="E95" s="12" t="str">
        <x:v>Open-source code</x:v>
      </x:c>
      <x:c r="F95" s="12" t="str">
        <x:v>Repository implementation; summary normalized from name/excerpts</x:v>
      </x:c>
      <x:c r="G95" s="14" t="n">
        <x:v>0.84</x:v>
      </x:c>
      <x:c r="H95" s="12" t="str">
        <x:v>Equities</x:v>
      </x:c>
      <x:c r="I95" s="12" t="str">
        <x:v>Liquid OHLCV instruments</x:v>
      </x:c>
      <x:c r="J95" s="12" t="str">
        <x:v>Both</x:v>
      </x:c>
      <x:c r="K95" s="12" t="str">
        <x:v>Yes</x:v>
      </x:c>
      <x:c r="L95" s="12" t="str">
        <x:v>Yes</x:v>
      </x:c>
      <x:c r="M95" s="12" t="str">
        <x:v>Intraday</x:v>
      </x:c>
      <x:c r="N95" s="12" t="str">
        <x:v>Intraday</x:v>
      </x:c>
      <x:c r="O95" s="12" t="str">
        <x:v>Contrarian long when shorter EMA crosses below longer EMA.</x:v>
      </x:c>
      <x:c r="P95" s="12" t="str">
        <x:v>Contrarian short when shorter EMA crosses above longer EMA.</x:v>
      </x:c>
      <x:c r="Q95" s="12" t="str">
        <x:v>Subsequent crossover.</x:v>
      </x:c>
      <x:c r="R95" s="12" t="str">
        <x:v>Fast/slow EMA</x:v>
      </x:c>
      <x:c r="S95" s="12" t="str">
        <x:v>OHLCV</x:v>
      </x:c>
      <x:c r="T95" s="12" t="str">
        <x:v>Inspect exact code before implementation; reproduce signal on independent data.</x:v>
      </x:c>
      <x:c r="U95" s="12" t="str">
        <x:v>Repository defaults may be framework-specific; source is not evidence of edge.</x:v>
      </x:c>
      <x:c r="V95" s="12" t="str">
        <x:v>High</x:v>
      </x:c>
      <x:c r="W95" s="12" t="str">
        <x:v>B</x:v>
      </x:c>
      <x:c r="X95" s="12" t="str">
        <x:v>https://github.com/algobulls/pyalgostrategypool/tree/master/pyalgostrategypool/strategy_inverse_ema_scalping_regular_order_intraday</x:v>
      </x:c>
      <x:c r="Y95" s="12" t="str">
        <x:v>2026-10-07</x:v>
      </x:c>
      <x:c r="Z95" s="12" t="str">
        <x:v>Exact repository implementation and parameter defaults must be inspected before executable MQD registration.</x:v>
      </x:c>
    </x:row>
    <x:row r="96" ht="48" customHeight="1">
      <x:c r="A96" s="12" t="str">
        <x:v>EXT-095</x:v>
      </x:c>
      <x:c r="B96" s="12" t="str">
        <x:v>MACD Crossover Delivery</x:v>
      </x:c>
      <x:c r="C96" s="12" t="str">
        <x:v>Trend / MACD</x:v>
      </x:c>
      <x:c r="D96" s="12" t="str">
        <x:v>AlgoBulls pyalgostrategypool (GitHub)</x:v>
      </x:c>
      <x:c r="E96" s="12" t="str">
        <x:v>Open-source code</x:v>
      </x:c>
      <x:c r="F96" s="12" t="str">
        <x:v>Repository implementation; summary normalized from name/excerpts</x:v>
      </x:c>
      <x:c r="G96" s="14" t="n">
        <x:v>0.84</x:v>
      </x:c>
      <x:c r="H96" s="12" t="str">
        <x:v>Equities</x:v>
      </x:c>
      <x:c r="I96" s="12" t="str">
        <x:v>Liquid OHLCV instruments</x:v>
      </x:c>
      <x:c r="J96" s="12" t="str">
        <x:v>Both</x:v>
      </x:c>
      <x:c r="K96" s="12" t="str">
        <x:v>Yes</x:v>
      </x:c>
      <x:c r="L96" s="12" t="str">
        <x:v>Yes</x:v>
      </x:c>
      <x:c r="M96" s="12" t="str">
        <x:v>Swing</x:v>
      </x:c>
      <x:c r="N96" s="12" t="str">
        <x:v>Daily/Intraday</x:v>
      </x:c>
      <x:c r="O96" s="12" t="str">
        <x:v>Long when MACD line crosses above signal line.</x:v>
      </x:c>
      <x:c r="P96" s="12" t="str">
        <x:v>Short when MACD line crosses below signal line.</x:v>
      </x:c>
      <x:c r="Q96" s="12" t="str">
        <x:v>Reverse crossover.</x:v>
      </x:c>
      <x:c r="R96" s="12" t="str">
        <x:v>MACD fast/slow/signal</x:v>
      </x:c>
      <x:c r="S96" s="12" t="str">
        <x:v>OHLCV</x:v>
      </x:c>
      <x:c r="T96" s="12" t="str">
        <x:v>Inspect exact code before implementation; reproduce signal on independent data.</x:v>
      </x:c>
      <x:c r="U96" s="12" t="str">
        <x:v>Repository defaults may be framework-specific; source is not evidence of edge.</x:v>
      </x:c>
      <x:c r="V96" s="12" t="str">
        <x:v>High</x:v>
      </x:c>
      <x:c r="W96" s="12" t="str">
        <x:v>A</x:v>
      </x:c>
      <x:c r="X96" s="12" t="str">
        <x:v>https://github.com/algobulls/pyalgostrategypool/tree/master/pyalgostrategypool/strategy_macd_crossover_delivery</x:v>
      </x:c>
      <x:c r="Y96" s="12" t="str">
        <x:v>2026-10-07</x:v>
      </x:c>
      <x:c r="Z96" s="12" t="str">
        <x:v>Exact repository implementation and parameter defaults must be inspected before executable MQD registration.</x:v>
      </x:c>
    </x:row>
    <x:row r="97" ht="48" customHeight="1">
      <x:c r="A97" s="12" t="str">
        <x:v>EXT-096</x:v>
      </x:c>
      <x:c r="B97" s="12" t="str">
        <x:v>MACD Crossover Intraday</x:v>
      </x:c>
      <x:c r="C97" s="12" t="str">
        <x:v>Trend / MACD</x:v>
      </x:c>
      <x:c r="D97" s="12" t="str">
        <x:v>AlgoBulls pyalgostrategypool (GitHub)</x:v>
      </x:c>
      <x:c r="E97" s="12" t="str">
        <x:v>Open-source code</x:v>
      </x:c>
      <x:c r="F97" s="12" t="str">
        <x:v>Repository implementation; summary normalized from name/excerpts</x:v>
      </x:c>
      <x:c r="G97" s="14" t="n">
        <x:v>0.84</x:v>
      </x:c>
      <x:c r="H97" s="12" t="str">
        <x:v>Equities</x:v>
      </x:c>
      <x:c r="I97" s="12" t="str">
        <x:v>Liquid OHLCV instruments</x:v>
      </x:c>
      <x:c r="J97" s="12" t="str">
        <x:v>Both</x:v>
      </x:c>
      <x:c r="K97" s="12" t="str">
        <x:v>Yes</x:v>
      </x:c>
      <x:c r="L97" s="12" t="str">
        <x:v>Yes</x:v>
      </x:c>
      <x:c r="M97" s="12" t="str">
        <x:v>Intraday</x:v>
      </x:c>
      <x:c r="N97" s="12" t="str">
        <x:v>Intraday</x:v>
      </x:c>
      <x:c r="O97" s="12" t="str">
        <x:v>Long when MACD line crosses above signal line.</x:v>
      </x:c>
      <x:c r="P97" s="12" t="str">
        <x:v>Short when MACD line crosses below signal line.</x:v>
      </x:c>
      <x:c r="Q97" s="12" t="str">
        <x:v>Reverse crossover.</x:v>
      </x:c>
      <x:c r="R97" s="12" t="str">
        <x:v>MACD fast/slow/signal</x:v>
      </x:c>
      <x:c r="S97" s="12" t="str">
        <x:v>OHLCV</x:v>
      </x:c>
      <x:c r="T97" s="12" t="str">
        <x:v>Inspect exact code before implementation; reproduce signal on independent data.</x:v>
      </x:c>
      <x:c r="U97" s="12" t="str">
        <x:v>Repository defaults may be framework-specific; source is not evidence of edge.</x:v>
      </x:c>
      <x:c r="V97" s="12" t="str">
        <x:v>High</x:v>
      </x:c>
      <x:c r="W97" s="12" t="str">
        <x:v>A</x:v>
      </x:c>
      <x:c r="X97" s="12" t="str">
        <x:v>https://github.com/algobulls/pyalgostrategypool/tree/master/pyalgostrategypool/strategy_macd_crossover_intraday</x:v>
      </x:c>
      <x:c r="Y97" s="12" t="str">
        <x:v>2026-10-07</x:v>
      </x:c>
      <x:c r="Z97" s="12" t="str">
        <x:v>Exact repository implementation and parameter defaults must be inspected before executable MQD registration.</x:v>
      </x:c>
    </x:row>
    <x:row r="98" ht="48" customHeight="1">
      <x:c r="A98" s="12" t="str">
        <x:v>EXT-097</x:v>
      </x:c>
      <x:c r="B98" s="12" t="str">
        <x:v>Mean Reversion Bollinger Bands Delivery</x:v>
      </x:c>
      <x:c r="C98" s="12" t="str">
        <x:v>Mean Reversion / Bollinger</x:v>
      </x:c>
      <x:c r="D98" s="12" t="str">
        <x:v>AlgoBulls pyalgostrategypool (GitHub)</x:v>
      </x:c>
      <x:c r="E98" s="12" t="str">
        <x:v>Open-source code</x:v>
      </x:c>
      <x:c r="F98" s="12" t="str">
        <x:v>Repository implementation; summary normalized from name/excerpts</x:v>
      </x:c>
      <x:c r="G98" s="14" t="n">
        <x:v>0.84</x:v>
      </x:c>
      <x:c r="H98" s="12" t="str">
        <x:v>Equities</x:v>
      </x:c>
      <x:c r="I98" s="12" t="str">
        <x:v>Liquid OHLCV instruments</x:v>
      </x:c>
      <x:c r="J98" s="12" t="str">
        <x:v>Both</x:v>
      </x:c>
      <x:c r="K98" s="12" t="str">
        <x:v>Yes</x:v>
      </x:c>
      <x:c r="L98" s="12" t="str">
        <x:v>Yes</x:v>
      </x:c>
      <x:c r="M98" s="12" t="str">
        <x:v>Swing</x:v>
      </x:c>
      <x:c r="N98" s="12" t="str">
        <x:v>Daily/Intraday</x:v>
      </x:c>
      <x:c r="O98" s="12" t="str">
        <x:v>Long on rebound/re-entry from lower Bollinger Band.</x:v>
      </x:c>
      <x:c r="P98" s="12" t="str">
        <x:v>Short on rejection/re-entry from upper Bollinger Band.</x:v>
      </x:c>
      <x:c r="Q98" s="12" t="str">
        <x:v>Mean/reverse-band or reverse signal.</x:v>
      </x:c>
      <x:c r="R98" s="12" t="str">
        <x:v>BB length/std</x:v>
      </x:c>
      <x:c r="S98" s="12" t="str">
        <x:v>OHLCV</x:v>
      </x:c>
      <x:c r="T98" s="12" t="str">
        <x:v>Inspect exact code before implementation; reproduce signal on independent data.</x:v>
      </x:c>
      <x:c r="U98" s="12" t="str">
        <x:v>Repository defaults may be framework-specific; source is not evidence of edge.</x:v>
      </x:c>
      <x:c r="V98" s="12" t="str">
        <x:v>High</x:v>
      </x:c>
      <x:c r="W98" s="12" t="str">
        <x:v>A</x:v>
      </x:c>
      <x:c r="X98" s="12" t="str">
        <x:v>https://github.com/algobulls/pyalgostrategypool/tree/master/pyalgostrategypool/strategy_mean_reversion_bollinger_bands_delivery</x:v>
      </x:c>
      <x:c r="Y98" s="12" t="str">
        <x:v>2026-10-07</x:v>
      </x:c>
      <x:c r="Z98" s="12" t="str">
        <x:v>Exact repository implementation and parameter defaults must be inspected before executable MQD registration.</x:v>
      </x:c>
    </x:row>
    <x:row r="99" ht="48" customHeight="1">
      <x:c r="A99" s="12" t="str">
        <x:v>EXT-098</x:v>
      </x:c>
      <x:c r="B99" s="12" t="str">
        <x:v>Mean Reversion Bollinger Bands Intraday</x:v>
      </x:c>
      <x:c r="C99" s="12" t="str">
        <x:v>Mean Reversion / Bollinger</x:v>
      </x:c>
      <x:c r="D99" s="12" t="str">
        <x:v>AlgoBulls pyalgostrategypool (GitHub)</x:v>
      </x:c>
      <x:c r="E99" s="12" t="str">
        <x:v>Open-source code</x:v>
      </x:c>
      <x:c r="F99" s="12" t="str">
        <x:v>Repository implementation; summary normalized from name/excerpts</x:v>
      </x:c>
      <x:c r="G99" s="14" t="n">
        <x:v>0.84</x:v>
      </x:c>
      <x:c r="H99" s="12" t="str">
        <x:v>Equities</x:v>
      </x:c>
      <x:c r="I99" s="12" t="str">
        <x:v>Liquid OHLCV instruments</x:v>
      </x:c>
      <x:c r="J99" s="12" t="str">
        <x:v>Both</x:v>
      </x:c>
      <x:c r="K99" s="12" t="str">
        <x:v>Yes</x:v>
      </x:c>
      <x:c r="L99" s="12" t="str">
        <x:v>Yes</x:v>
      </x:c>
      <x:c r="M99" s="12" t="str">
        <x:v>Intraday</x:v>
      </x:c>
      <x:c r="N99" s="12" t="str">
        <x:v>Intraday</x:v>
      </x:c>
      <x:c r="O99" s="12" t="str">
        <x:v>Long on rebound/re-entry from lower Bollinger Band.</x:v>
      </x:c>
      <x:c r="P99" s="12" t="str">
        <x:v>Short on rejection/re-entry from upper Bollinger Band.</x:v>
      </x:c>
      <x:c r="Q99" s="12" t="str">
        <x:v>Mean/reverse-band or reverse signal.</x:v>
      </x:c>
      <x:c r="R99" s="12" t="str">
        <x:v>BB length/std</x:v>
      </x:c>
      <x:c r="S99" s="12" t="str">
        <x:v>OHLCV</x:v>
      </x:c>
      <x:c r="T99" s="12" t="str">
        <x:v>Inspect exact code before implementation; reproduce signal on independent data.</x:v>
      </x:c>
      <x:c r="U99" s="12" t="str">
        <x:v>Repository defaults may be framework-specific; source is not evidence of edge.</x:v>
      </x:c>
      <x:c r="V99" s="12" t="str">
        <x:v>High</x:v>
      </x:c>
      <x:c r="W99" s="12" t="str">
        <x:v>A</x:v>
      </x:c>
      <x:c r="X99" s="12" t="str">
        <x:v>https://github.com/algobulls/pyalgostrategypool/tree/master/pyalgostrategypool/strategy_mean_reversion_bollinger_bands_intraday</x:v>
      </x:c>
      <x:c r="Y99" s="12" t="str">
        <x:v>2026-10-07</x:v>
      </x:c>
      <x:c r="Z99" s="12" t="str">
        <x:v>Exact repository implementation and parameter defaults must be inspected before executable MQD registration.</x:v>
      </x:c>
    </x:row>
    <x:row r="100" ht="48" customHeight="1">
      <x:c r="A100" s="12" t="str">
        <x:v>EXT-099</x:v>
      </x:c>
      <x:c r="B100" s="12" t="str">
        <x:v>Options Bear Call Ladder Intraday</x:v>
      </x:c>
      <x:c r="C100" s="12" t="str">
        <x:v>Options / Multi-Leg</x:v>
      </x:c>
      <x:c r="D100" s="12" t="str">
        <x:v>AlgoBulls pyalgostrategypool (GitHub)</x:v>
      </x:c>
      <x:c r="E100" s="12" t="str">
        <x:v>Open-source code</x:v>
      </x:c>
      <x:c r="F100" s="12" t="str">
        <x:v>Repository implementation; summary normalized from name/excerpts</x:v>
      </x:c>
      <x:c r="G100" s="14" t="n">
        <x:v>0.72</x:v>
      </x:c>
      <x:c r="H100" s="12" t="str">
        <x:v>Options</x:v>
      </x:c>
      <x:c r="I100" s="12" t="str">
        <x:v>Liquid optionable underlyings with listed options</x:v>
      </x:c>
      <x:c r="J100" s="12" t="str">
        <x:v>Bearish-to-convex options</x:v>
      </x:c>
      <x:c r="K100" s="12" t="str">
        <x:v>No</x:v>
      </x:c>
      <x:c r="L100" s="12" t="str">
        <x:v>No</x:v>
      </x:c>
      <x:c r="M100" s="12" t="str">
        <x:v>Intraday</x:v>
      </x:c>
      <x:c r="N100" s="12" t="str">
        <x:v>Intraday</x:v>
      </x:c>
      <x:c r="O100" s="12" t="str">
        <x:v>N/A</x:v>
      </x:c>
      <x:c r="P100" s="12" t="str">
        <x:v>Bear-call ladder structure per source; verify exact leg quantities.</x:v>
      </x:c>
      <x:c r="Q100" s="12" t="str">
        <x:v>Intraday/source-defined.</x:v>
      </x:c>
      <x:c r="R100" s="12" t="str">
        <x:v>Call strikes/quantities/expiry</x:v>
      </x:c>
      <x:c r="S100" s="12" t="str">
        <x:v>Underlying OHLCV + full option chain/Greeks</x:v>
      </x:c>
      <x:c r="T100" s="12" t="str">
        <x:v>Inspect exact code before implementation; reproduce signal on independent data.</x:v>
      </x:c>
      <x:c r="U100" s="12" t="str">
        <x:v>Repository defaults may be framework-specific; source is not evidence of edge.</x:v>
      </x:c>
      <x:c r="V100" s="12" t="str">
        <x:v>Medium</x:v>
      </x:c>
      <x:c r="W100" s="12" t="str">
        <x:v>B</x:v>
      </x:c>
      <x:c r="X100" s="12" t="str">
        <x:v>https://github.com/algobulls/pyalgostrategypool/tree/master/pyalgostrategypool/strategy_options_bear_call_ladder_intraday</x:v>
      </x:c>
      <x:c r="Y100" s="12" t="str">
        <x:v>2026-10-07</x:v>
      </x:c>
      <x:c r="Z100" s="12" t="str">
        <x:v>Exact repository implementation and parameter defaults must be inspected before executable MQD registration.</x:v>
      </x:c>
    </x:row>
    <x:row r="101" ht="48" customHeight="1">
      <x:c r="A101" s="12" t="str">
        <x:v>EXT-100</x:v>
      </x:c>
      <x:c r="B101" s="12" t="str">
        <x:v>Options Bear Put Ladder Intraday</x:v>
      </x:c>
      <x:c r="C101" s="12" t="str">
        <x:v>Options / Multi-Leg</x:v>
      </x:c>
      <x:c r="D101" s="12" t="str">
        <x:v>AlgoBulls pyalgostrategypool (GitHub)</x:v>
      </x:c>
      <x:c r="E101" s="12" t="str">
        <x:v>Open-source code</x:v>
      </x:c>
      <x:c r="F101" s="12" t="str">
        <x:v>Repository implementation; summary normalized from name/excerpts</x:v>
      </x:c>
      <x:c r="G101" s="14" t="n">
        <x:v>0.72</x:v>
      </x:c>
      <x:c r="H101" s="12" t="str">
        <x:v>Options</x:v>
      </x:c>
      <x:c r="I101" s="12" t="str">
        <x:v>Liquid optionable underlyings with listed options</x:v>
      </x:c>
      <x:c r="J101" s="12" t="str">
        <x:v>Bearish-to-convex options</x:v>
      </x:c>
      <x:c r="K101" s="12" t="str">
        <x:v>No</x:v>
      </x:c>
      <x:c r="L101" s="12" t="str">
        <x:v>No</x:v>
      </x:c>
      <x:c r="M101" s="12" t="str">
        <x:v>Intraday</x:v>
      </x:c>
      <x:c r="N101" s="12" t="str">
        <x:v>Intraday</x:v>
      </x:c>
      <x:c r="O101" s="12" t="str">
        <x:v>N/A</x:v>
      </x:c>
      <x:c r="P101" s="12" t="str">
        <x:v>Bear-put ladder structure per source; verify exact leg quantities.</x:v>
      </x:c>
      <x:c r="Q101" s="12" t="str">
        <x:v>Intraday/source-defined.</x:v>
      </x:c>
      <x:c r="R101" s="12" t="str">
        <x:v>Put strikes/quantities/expiry</x:v>
      </x:c>
      <x:c r="S101" s="12" t="str">
        <x:v>Underlying OHLCV + full option chain/Greeks</x:v>
      </x:c>
      <x:c r="T101" s="12" t="str">
        <x:v>Inspect exact code before implementation; reproduce signal on independent data.</x:v>
      </x:c>
      <x:c r="U101" s="12" t="str">
        <x:v>Repository defaults may be framework-specific; source is not evidence of edge.</x:v>
      </x:c>
      <x:c r="V101" s="12" t="str">
        <x:v>Medium</x:v>
      </x:c>
      <x:c r="W101" s="12" t="str">
        <x:v>B</x:v>
      </x:c>
      <x:c r="X101" s="12" t="str">
        <x:v>https://github.com/algobulls/pyalgostrategypool/tree/master/pyalgostrategypool/strategy_options_bear_put_ladder_intraday</x:v>
      </x:c>
      <x:c r="Y101" s="12" t="str">
        <x:v>2026-10-07</x:v>
      </x:c>
      <x:c r="Z101" s="12" t="str">
        <x:v>Exact repository implementation and parameter defaults must be inspected before executable MQD registration.</x:v>
      </x:c>
    </x:row>
    <x:row r="102" ht="48" customHeight="1">
      <x:c r="A102" s="12" t="str">
        <x:v>EXT-101</x:v>
      </x:c>
      <x:c r="B102" s="12" t="str">
        <x:v>Options Bear Put Spread With Target Stops Reentry</x:v>
      </x:c>
      <x:c r="C102" s="12" t="str">
        <x:v>Options / Multi-Leg</x:v>
      </x:c>
      <x:c r="D102" s="12" t="str">
        <x:v>AlgoBulls pyalgostrategypool (GitHub)</x:v>
      </x:c>
      <x:c r="E102" s="12" t="str">
        <x:v>Open-source code</x:v>
      </x:c>
      <x:c r="F102" s="12" t="str">
        <x:v>Repository implementation; summary normalized from name/excerpts</x:v>
      </x:c>
      <x:c r="G102" s="14" t="n">
        <x:v>0.72</x:v>
      </x:c>
      <x:c r="H102" s="12" t="str">
        <x:v>Options</x:v>
      </x:c>
      <x:c r="I102" s="12" t="str">
        <x:v>Liquid optionable underlyings with listed options</x:v>
      </x:c>
      <x:c r="J102" s="12" t="str">
        <x:v>Bearish options</x:v>
      </x:c>
      <x:c r="K102" s="12" t="str">
        <x:v>No</x:v>
      </x:c>
      <x:c r="L102" s="12" t="str">
        <x:v>No</x:v>
      </x:c>
      <x:c r="M102" s="12" t="str">
        <x:v>Swing</x:v>
      </x:c>
      <x:c r="N102" s="12" t="str">
        <x:v>Daily/Intraday</x:v>
      </x:c>
      <x:c r="O102" s="12" t="str">
        <x:v>N/A</x:v>
      </x:c>
      <x:c r="P102" s="12" t="str">
        <x:v>Bear put spread: long higher-strike put, short lower-strike put; source adds target/stop/re-entry.</x:v>
      </x:c>
      <x:c r="Q102" s="12" t="str">
        <x:v>Target/stop/re-entry rules.</x:v>
      </x:c>
      <x:c r="R102" s="12" t="str">
        <x:v>Expiry; strikes; target; stop; re-entry</x:v>
      </x:c>
      <x:c r="S102" s="12" t="str">
        <x:v>Underlying OHLCV + full option chain/Greeks</x:v>
      </x:c>
      <x:c r="T102" s="12" t="str">
        <x:v>Inspect exact code before implementation; reproduce signal on independent data.</x:v>
      </x:c>
      <x:c r="U102" s="12" t="str">
        <x:v>Repository defaults may be framework-specific; source is not evidence of edge.</x:v>
      </x:c>
      <x:c r="V102" s="12" t="str">
        <x:v>Medium</x:v>
      </x:c>
      <x:c r="W102" s="12" t="str">
        <x:v>B</x:v>
      </x:c>
      <x:c r="X102" s="12" t="str">
        <x:v>https://github.com/algobulls/pyalgostrategypool/tree/master/pyalgostrategypool/strategy_options_bear_put_spread_with_target_stops_reentry</x:v>
      </x:c>
      <x:c r="Y102" s="12" t="str">
        <x:v>2026-10-07</x:v>
      </x:c>
      <x:c r="Z102" s="12" t="str">
        <x:v>Exact repository implementation and parameter defaults must be inspected before executable MQD registration.</x:v>
      </x:c>
    </x:row>
    <x:row r="103" ht="48" customHeight="1">
      <x:c r="A103" s="12" t="str">
        <x:v>EXT-102</x:v>
      </x:c>
      <x:c r="B103" s="12" t="str">
        <x:v>Options Bull Call Ladder Intraday</x:v>
      </x:c>
      <x:c r="C103" s="12" t="str">
        <x:v>Options / Multi-Leg</x:v>
      </x:c>
      <x:c r="D103" s="12" t="str">
        <x:v>AlgoBulls pyalgostrategypool (GitHub)</x:v>
      </x:c>
      <x:c r="E103" s="12" t="str">
        <x:v>Open-source code</x:v>
      </x:c>
      <x:c r="F103" s="12" t="str">
        <x:v>Repository implementation; summary normalized from name/excerpts</x:v>
      </x:c>
      <x:c r="G103" s="14" t="n">
        <x:v>0.72</x:v>
      </x:c>
      <x:c r="H103" s="12" t="str">
        <x:v>Options</x:v>
      </x:c>
      <x:c r="I103" s="12" t="str">
        <x:v>Liquid optionable underlyings with listed options</x:v>
      </x:c>
      <x:c r="J103" s="12" t="str">
        <x:v>Bullish options</x:v>
      </x:c>
      <x:c r="K103" s="12" t="str">
        <x:v>No</x:v>
      </x:c>
      <x:c r="L103" s="12" t="str">
        <x:v>No</x:v>
      </x:c>
      <x:c r="M103" s="12" t="str">
        <x:v>Intraday</x:v>
      </x:c>
      <x:c r="N103" s="12" t="str">
        <x:v>Intraday</x:v>
      </x:c>
      <x:c r="O103" s="12" t="str">
        <x:v>Bullish ladder structure per source; verify exact leg quantities.</x:v>
      </x:c>
      <x:c r="P103" s="12" t="str">
        <x:v>N/A</x:v>
      </x:c>
      <x:c r="Q103" s="12" t="str">
        <x:v>Intraday/source-defined.</x:v>
      </x:c>
      <x:c r="R103" s="12" t="str">
        <x:v>Strikes/quantities/expiry</x:v>
      </x:c>
      <x:c r="S103" s="12" t="str">
        <x:v>Underlying OHLCV + full option chain/Greeks</x:v>
      </x:c>
      <x:c r="T103" s="12" t="str">
        <x:v>Inspect exact code before implementation; reproduce signal on independent data.</x:v>
      </x:c>
      <x:c r="U103" s="12" t="str">
        <x:v>Repository defaults may be framework-specific; source is not evidence of edge.</x:v>
      </x:c>
      <x:c r="V103" s="12" t="str">
        <x:v>Medium</x:v>
      </x:c>
      <x:c r="W103" s="12" t="str">
        <x:v>B</x:v>
      </x:c>
      <x:c r="X103" s="12" t="str">
        <x:v>https://github.com/algobulls/pyalgostrategypool/tree/master/pyalgostrategypool/strategy_options_bull_call_ladder_intraday</x:v>
      </x:c>
      <x:c r="Y103" s="12" t="str">
        <x:v>2026-10-07</x:v>
      </x:c>
      <x:c r="Z103" s="12" t="str">
        <x:v>Exact repository implementation and parameter defaults must be inspected before executable MQD registration.</x:v>
      </x:c>
    </x:row>
    <x:row r="104" ht="48" customHeight="1">
      <x:c r="A104" s="12" t="str">
        <x:v>EXT-103</x:v>
      </x:c>
      <x:c r="B104" s="12" t="str">
        <x:v>Options Bull Call Ratio Backspread With Target Stoploss</x:v>
      </x:c>
      <x:c r="C104" s="12" t="str">
        <x:v>Options / Multi-Leg</x:v>
      </x:c>
      <x:c r="D104" s="12" t="str">
        <x:v>AlgoBulls pyalgostrategypool (GitHub)</x:v>
      </x:c>
      <x:c r="E104" s="12" t="str">
        <x:v>Open-source code</x:v>
      </x:c>
      <x:c r="F104" s="12" t="str">
        <x:v>Repository implementation; summary normalized from name/excerpts</x:v>
      </x:c>
      <x:c r="G104" s="14" t="n">
        <x:v>0.72</x:v>
      </x:c>
      <x:c r="H104" s="12" t="str">
        <x:v>Options</x:v>
      </x:c>
      <x:c r="I104" s="12" t="str">
        <x:v>Liquid optionable underlyings with listed options</x:v>
      </x:c>
      <x:c r="J104" s="12" t="str">
        <x:v>Bullish convex options</x:v>
      </x:c>
      <x:c r="K104" s="12" t="str">
        <x:v>No</x:v>
      </x:c>
      <x:c r="L104" s="12" t="str">
        <x:v>No</x:v>
      </x:c>
      <x:c r="M104" s="12" t="str">
        <x:v>Swing</x:v>
      </x:c>
      <x:c r="N104" s="12" t="str">
        <x:v>Daily/Intraday</x:v>
      </x:c>
      <x:c r="O104" s="12" t="str">
        <x:v>Bull call ratio backspread structure; source includes target/stop-loss.</x:v>
      </x:c>
      <x:c r="P104" s="12" t="str">
        <x:v>N/A</x:v>
      </x:c>
      <x:c r="Q104" s="12" t="str">
        <x:v>Target/stop.</x:v>
      </x:c>
      <x:c r="R104" s="12" t="str">
        <x:v>Strike spacing; ratio; expiry; risk limits</x:v>
      </x:c>
      <x:c r="S104" s="12" t="str">
        <x:v>Underlying OHLCV + full option chain/Greeks</x:v>
      </x:c>
      <x:c r="T104" s="12" t="str">
        <x:v>Inspect exact code before implementation; reproduce signal on independent data.</x:v>
      </x:c>
      <x:c r="U104" s="12" t="str">
        <x:v>Repository defaults may be framework-specific; source is not evidence of edge.</x:v>
      </x:c>
      <x:c r="V104" s="12" t="str">
        <x:v>Medium</x:v>
      </x:c>
      <x:c r="W104" s="12" t="str">
        <x:v>B</x:v>
      </x:c>
      <x:c r="X104" s="12" t="str">
        <x:v>https://github.com/algobulls/pyalgostrategypool/tree/master/pyalgostrategypool/strategy_options_bull_call_ratio_backspread_with_target_stoploss</x:v>
      </x:c>
      <x:c r="Y104" s="12" t="str">
        <x:v>2026-10-07</x:v>
      </x:c>
      <x:c r="Z104" s="12" t="str">
        <x:v>Exact repository implementation and parameter defaults must be inspected before executable MQD registration.</x:v>
      </x:c>
    </x:row>
    <x:row r="105" ht="48" customHeight="1">
      <x:c r="A105" s="12" t="str">
        <x:v>EXT-104</x:v>
      </x:c>
      <x:c r="B105" s="12" t="str">
        <x:v>Options Bull Call Spread With Target Stops Reentry</x:v>
      </x:c>
      <x:c r="C105" s="12" t="str">
        <x:v>Options / Multi-Leg</x:v>
      </x:c>
      <x:c r="D105" s="12" t="str">
        <x:v>AlgoBulls pyalgostrategypool (GitHub)</x:v>
      </x:c>
      <x:c r="E105" s="12" t="str">
        <x:v>Open-source code</x:v>
      </x:c>
      <x:c r="F105" s="12" t="str">
        <x:v>Repository implementation; summary normalized from name/excerpts</x:v>
      </x:c>
      <x:c r="G105" s="14" t="n">
        <x:v>0.72</x:v>
      </x:c>
      <x:c r="H105" s="12" t="str">
        <x:v>Options</x:v>
      </x:c>
      <x:c r="I105" s="12" t="str">
        <x:v>Liquid optionable underlyings with listed options</x:v>
      </x:c>
      <x:c r="J105" s="12" t="str">
        <x:v>Bullish options</x:v>
      </x:c>
      <x:c r="K105" s="12" t="str">
        <x:v>No</x:v>
      </x:c>
      <x:c r="L105" s="12" t="str">
        <x:v>No</x:v>
      </x:c>
      <x:c r="M105" s="12" t="str">
        <x:v>Swing</x:v>
      </x:c>
      <x:c r="N105" s="12" t="str">
        <x:v>Daily/Intraday</x:v>
      </x:c>
      <x:c r="O105" s="12" t="str">
        <x:v>Bull call spread: long lower-strike call, short higher-strike call; source adds target/stop/re-entry.</x:v>
      </x:c>
      <x:c r="P105" s="12" t="str">
        <x:v>N/A</x:v>
      </x:c>
      <x:c r="Q105" s="12" t="str">
        <x:v>Target/stop/re-entry.</x:v>
      </x:c>
      <x:c r="R105" s="12" t="str">
        <x:v>Expiry; strikes; target; stop; re-entry</x:v>
      </x:c>
      <x:c r="S105" s="12" t="str">
        <x:v>Underlying OHLCV + full option chain/Greeks</x:v>
      </x:c>
      <x:c r="T105" s="12" t="str">
        <x:v>Inspect exact code before implementation; reproduce signal on independent data.</x:v>
      </x:c>
      <x:c r="U105" s="12" t="str">
        <x:v>Repository defaults may be framework-specific; source is not evidence of edge.</x:v>
      </x:c>
      <x:c r="V105" s="12" t="str">
        <x:v>Medium</x:v>
      </x:c>
      <x:c r="W105" s="12" t="str">
        <x:v>B</x:v>
      </x:c>
      <x:c r="X105" s="12" t="str">
        <x:v>https://github.com/algobulls/pyalgostrategypool/tree/master/pyalgostrategypool/strategy_options_bull_call_spread_with_target_stops_reentry</x:v>
      </x:c>
      <x:c r="Y105" s="12" t="str">
        <x:v>2026-10-07</x:v>
      </x:c>
      <x:c r="Z105" s="12" t="str">
        <x:v>Exact repository implementation and parameter defaults must be inspected before executable MQD registration.</x:v>
      </x:c>
    </x:row>
    <x:row r="106" ht="48" customHeight="1">
      <x:c r="A106" s="12" t="str">
        <x:v>EXT-105</x:v>
      </x:c>
      <x:c r="B106" s="12" t="str">
        <x:v>Options Bull Put Ladder Intraday</x:v>
      </x:c>
      <x:c r="C106" s="12" t="str">
        <x:v>Options / Multi-Leg</x:v>
      </x:c>
      <x:c r="D106" s="12" t="str">
        <x:v>AlgoBulls pyalgostrategypool (GitHub)</x:v>
      </x:c>
      <x:c r="E106" s="12" t="str">
        <x:v>Open-source code</x:v>
      </x:c>
      <x:c r="F106" s="12" t="str">
        <x:v>Repository implementation; summary normalized from name/excerpts</x:v>
      </x:c>
      <x:c r="G106" s="14" t="n">
        <x:v>0.72</x:v>
      </x:c>
      <x:c r="H106" s="12" t="str">
        <x:v>Options</x:v>
      </x:c>
      <x:c r="I106" s="12" t="str">
        <x:v>Liquid optionable underlyings with listed options</x:v>
      </x:c>
      <x:c r="J106" s="12" t="str">
        <x:v>Bullish options</x:v>
      </x:c>
      <x:c r="K106" s="12" t="str">
        <x:v>No</x:v>
      </x:c>
      <x:c r="L106" s="12" t="str">
        <x:v>No</x:v>
      </x:c>
      <x:c r="M106" s="12" t="str">
        <x:v>Intraday</x:v>
      </x:c>
      <x:c r="N106" s="12" t="str">
        <x:v>Intraday</x:v>
      </x:c>
      <x:c r="O106" s="12" t="str">
        <x:v>Bullish ladder structure per source; verify exact leg quantities.</x:v>
      </x:c>
      <x:c r="P106" s="12" t="str">
        <x:v>N/A</x:v>
      </x:c>
      <x:c r="Q106" s="12" t="str">
        <x:v>Intraday/source-defined.</x:v>
      </x:c>
      <x:c r="R106" s="12" t="str">
        <x:v>Strikes/quantities/expiry</x:v>
      </x:c>
      <x:c r="S106" s="12" t="str">
        <x:v>Underlying OHLCV + full option chain/Greeks</x:v>
      </x:c>
      <x:c r="T106" s="12" t="str">
        <x:v>Inspect exact code before implementation; reproduce signal on independent data.</x:v>
      </x:c>
      <x:c r="U106" s="12" t="str">
        <x:v>Repository defaults may be framework-specific; source is not evidence of edge.</x:v>
      </x:c>
      <x:c r="V106" s="12" t="str">
        <x:v>Medium</x:v>
      </x:c>
      <x:c r="W106" s="12" t="str">
        <x:v>B</x:v>
      </x:c>
      <x:c r="X106" s="12" t="str">
        <x:v>https://github.com/algobulls/pyalgostrategypool/tree/master/pyalgostrategypool/strategy_options_bull_put_ladder_intraday</x:v>
      </x:c>
      <x:c r="Y106" s="12" t="str">
        <x:v>2026-10-07</x:v>
      </x:c>
      <x:c r="Z106" s="12" t="str">
        <x:v>Exact repository implementation and parameter defaults must be inspected before executable MQD registration.</x:v>
      </x:c>
    </x:row>
    <x:row r="107" ht="48" customHeight="1">
      <x:c r="A107" s="12" t="str">
        <x:v>EXT-106</x:v>
      </x:c>
      <x:c r="B107" s="12" t="str">
        <x:v>Options Buying EMA Crossover Intraday</x:v>
      </x:c>
      <x:c r="C107" s="12" t="str">
        <x:v>Options / Multi-Leg</x:v>
      </x:c>
      <x:c r="D107" s="12" t="str">
        <x:v>AlgoBulls pyalgostrategypool (GitHub)</x:v>
      </x:c>
      <x:c r="E107" s="12" t="str">
        <x:v>Open-source code</x:v>
      </x:c>
      <x:c r="F107" s="12" t="str">
        <x:v>Repository implementation; summary normalized from name/excerpts</x:v>
      </x:c>
      <x:c r="G107" s="14" t="n">
        <x:v>0.72</x:v>
      </x:c>
      <x:c r="H107" s="12" t="str">
        <x:v>Options</x:v>
      </x:c>
      <x:c r="I107" s="12" t="str">
        <x:v>Liquid optionable underlyings with listed options</x:v>
      </x:c>
      <x:c r="J107" s="12" t="str">
        <x:v>Directional long option buying</x:v>
      </x:c>
      <x:c r="K107" s="12" t="str">
        <x:v>No</x:v>
      </x:c>
      <x:c r="L107" s="12" t="str">
        <x:v>No</x:v>
      </x:c>
      <x:c r="M107" s="12" t="str">
        <x:v>Intraday</x:v>
      </x:c>
      <x:c r="N107" s="12" t="str">
        <x:v>Intraday</x:v>
      </x:c>
      <x:c r="O107" s="12" t="str">
        <x:v>Buy bullish option exposure on EMA crossover; verify call/put mapping.</x:v>
      </x:c>
      <x:c r="P107" s="12" t="str">
        <x:v>Bearish option-buying mirror if source supports it.</x:v>
      </x:c>
      <x:c r="Q107" s="12" t="str">
        <x:v>Source-defined.</x:v>
      </x:c>
      <x:c r="R107" s="12" t="str">
        <x:v>EMA; strike selection; expiry</x:v>
      </x:c>
      <x:c r="S107" s="12" t="str">
        <x:v>Underlying OHLCV + full option chain/Greeks</x:v>
      </x:c>
      <x:c r="T107" s="12" t="str">
        <x:v>Inspect exact code before implementation; reproduce signal on independent data.</x:v>
      </x:c>
      <x:c r="U107" s="12" t="str">
        <x:v>Repository defaults may be framework-specific; source is not evidence of edge.</x:v>
      </x:c>
      <x:c r="V107" s="12" t="str">
        <x:v>Medium</x:v>
      </x:c>
      <x:c r="W107" s="12" t="str">
        <x:v>B</x:v>
      </x:c>
      <x:c r="X107" s="12" t="str">
        <x:v>https://github.com/algobulls/pyalgostrategypool/tree/master/pyalgostrategypool/strategy_options_buying_ema_crossover_intraday</x:v>
      </x:c>
      <x:c r="Y107" s="12" t="str">
        <x:v>2026-10-07</x:v>
      </x:c>
      <x:c r="Z107" s="12" t="str">
        <x:v>Exact repository implementation and parameter defaults must be inspected before executable MQD registration.</x:v>
      </x:c>
    </x:row>
    <x:row r="108" ht="48" customHeight="1">
      <x:c r="A108" s="12" t="str">
        <x:v>EXT-107</x:v>
      </x:c>
      <x:c r="B108" s="12" t="str">
        <x:v>Options Buying Multi Candle Trend Intraday</x:v>
      </x:c>
      <x:c r="C108" s="12" t="str">
        <x:v>Options / Multi-Leg</x:v>
      </x:c>
      <x:c r="D108" s="12" t="str">
        <x:v>AlgoBulls pyalgostrategypool (GitHub)</x:v>
      </x:c>
      <x:c r="E108" s="12" t="str">
        <x:v>Open-source code</x:v>
      </x:c>
      <x:c r="F108" s="12" t="str">
        <x:v>Repository implementation; summary normalized from name/excerpts</x:v>
      </x:c>
      <x:c r="G108" s="14" t="n">
        <x:v>0.72</x:v>
      </x:c>
      <x:c r="H108" s="12" t="str">
        <x:v>Options</x:v>
      </x:c>
      <x:c r="I108" s="12" t="str">
        <x:v>Liquid optionable underlyings with listed options</x:v>
      </x:c>
      <x:c r="J108" s="12" t="str">
        <x:v>Directional option buying</x:v>
      </x:c>
      <x:c r="K108" s="12" t="str">
        <x:v>No</x:v>
      </x:c>
      <x:c r="L108" s="12" t="str">
        <x:v>No</x:v>
      </x:c>
      <x:c r="M108" s="12" t="str">
        <x:v>Intraday</x:v>
      </x:c>
      <x:c r="N108" s="12" t="str">
        <x:v>Intraday</x:v>
      </x:c>
      <x:c r="O108" s="12" t="str">
        <x:v>Buy bullish option after multi-candle bullish trend condition.</x:v>
      </x:c>
      <x:c r="P108" s="12" t="str">
        <x:v>Buy bearish option on mirrored condition.</x:v>
      </x:c>
      <x:c r="Q108" s="12" t="str">
        <x:v>Source-defined.</x:v>
      </x:c>
      <x:c r="R108" s="12" t="str">
        <x:v>Candle count; strike distance; expiry</x:v>
      </x:c>
      <x:c r="S108" s="12" t="str">
        <x:v>Underlying OHLCV + full option chain/Greeks</x:v>
      </x:c>
      <x:c r="T108" s="12" t="str">
        <x:v>Inspect exact code before implementation; reproduce signal on independent data.</x:v>
      </x:c>
      <x:c r="U108" s="12" t="str">
        <x:v>Repository defaults may be framework-specific; source is not evidence of edge.</x:v>
      </x:c>
      <x:c r="V108" s="12" t="str">
        <x:v>Medium</x:v>
      </x:c>
      <x:c r="W108" s="12" t="str">
        <x:v>B</x:v>
      </x:c>
      <x:c r="X108" s="12" t="str">
        <x:v>https://github.com/algobulls/pyalgostrategypool/tree/master/pyalgostrategypool/strategy_options_buying_multi_candle_trend_intraday</x:v>
      </x:c>
      <x:c r="Y108" s="12" t="str">
        <x:v>2026-10-07</x:v>
      </x:c>
      <x:c r="Z108" s="12" t="str">
        <x:v>Exact repository implementation and parameter defaults must be inspected before executable MQD registration.</x:v>
      </x:c>
    </x:row>
    <x:row r="109" ht="48" customHeight="1">
      <x:c r="A109" s="12" t="str">
        <x:v>EXT-108</x:v>
      </x:c>
      <x:c r="B109" s="12" t="str">
        <x:v>Options Buying RSI MACD Crossover Intraday</x:v>
      </x:c>
      <x:c r="C109" s="12" t="str">
        <x:v>Hybrid / RSI+MACD</x:v>
      </x:c>
      <x:c r="D109" s="12" t="str">
        <x:v>AlgoBulls pyalgostrategypool (GitHub)</x:v>
      </x:c>
      <x:c r="E109" s="12" t="str">
        <x:v>Open-source code</x:v>
      </x:c>
      <x:c r="F109" s="12" t="str">
        <x:v>Repository implementation; summary normalized from name/excerpts</x:v>
      </x:c>
      <x:c r="G109" s="14" t="n">
        <x:v>0.72</x:v>
      </x:c>
      <x:c r="H109" s="12" t="str">
        <x:v>Options</x:v>
      </x:c>
      <x:c r="I109" s="12" t="str">
        <x:v>Liquid optionable underlyings with listed options</x:v>
      </x:c>
      <x:c r="J109" s="12" t="str">
        <x:v>Multi-leg options</x:v>
      </x:c>
      <x:c r="K109" s="12" t="str">
        <x:v>No</x:v>
      </x:c>
      <x:c r="L109" s="12" t="str">
        <x:v>No</x:v>
      </x:c>
      <x:c r="M109" s="12" t="str">
        <x:v>Intraday</x:v>
      </x:c>
      <x:c r="N109" s="12" t="str">
        <x:v>Intraday</x:v>
      </x:c>
      <x:c r="O109" s="12" t="str">
        <x:v>Long when bullish MACD crossover aligns with RSI recovery from oversold.</x:v>
      </x:c>
      <x:c r="P109" s="12" t="str">
        <x:v>Short when bearish MACD crossover aligns with RSI rollover from overbought.</x:v>
      </x:c>
      <x:c r="Q109" s="12" t="str">
        <x:v>Reverse signal / source-specific risk rule.</x:v>
      </x:c>
      <x:c r="R109" s="12" t="str">
        <x:v>RSI thresholds; MACD settings</x:v>
      </x:c>
      <x:c r="S109" s="12" t="str">
        <x:v>Underlying OHLCV + full option chain/Greeks</x:v>
      </x:c>
      <x:c r="T109" s="12" t="str">
        <x:v>Inspect exact code before implementation; reproduce signal on independent data.</x:v>
      </x:c>
      <x:c r="U109" s="12" t="str">
        <x:v>Repository defaults may be framework-specific; source is not evidence of edge.</x:v>
      </x:c>
      <x:c r="V109" s="12" t="str">
        <x:v>High</x:v>
      </x:c>
      <x:c r="W109" s="12" t="str">
        <x:v>A</x:v>
      </x:c>
      <x:c r="X109" s="12" t="str">
        <x:v>https://github.com/algobulls/pyalgostrategypool/tree/master/pyalgostrategypool/strategy_options_buying_rsi_macd_crossover_intraday</x:v>
      </x:c>
      <x:c r="Y109" s="12" t="str">
        <x:v>2026-10-07</x:v>
      </x:c>
      <x:c r="Z109" s="12" t="str">
        <x:v>Exact repository implementation and parameter defaults must be inspected before executable MQD registration.</x:v>
      </x:c>
    </x:row>
    <x:row r="110" ht="48" customHeight="1">
      <x:c r="A110" s="12" t="str">
        <x:v>EXT-109</x:v>
      </x:c>
      <x:c r="B110" s="12" t="str">
        <x:v>Options Buying RSI PSAR Crossover Intraday</x:v>
      </x:c>
      <x:c r="C110" s="12" t="str">
        <x:v>Options / Multi-Leg</x:v>
      </x:c>
      <x:c r="D110" s="12" t="str">
        <x:v>AlgoBulls pyalgostrategypool (GitHub)</x:v>
      </x:c>
      <x:c r="E110" s="12" t="str">
        <x:v>Open-source code</x:v>
      </x:c>
      <x:c r="F110" s="12" t="str">
        <x:v>Repository implementation; summary normalized from name/excerpts</x:v>
      </x:c>
      <x:c r="G110" s="14" t="n">
        <x:v>0.72</x:v>
      </x:c>
      <x:c r="H110" s="12" t="str">
        <x:v>Options</x:v>
      </x:c>
      <x:c r="I110" s="12" t="str">
        <x:v>Liquid optionable underlyings with listed options</x:v>
      </x:c>
      <x:c r="J110" s="12" t="str">
        <x:v>Directional option buying</x:v>
      </x:c>
      <x:c r="K110" s="12" t="str">
        <x:v>No</x:v>
      </x:c>
      <x:c r="L110" s="12" t="str">
        <x:v>No</x:v>
      </x:c>
      <x:c r="M110" s="12" t="str">
        <x:v>Intraday</x:v>
      </x:c>
      <x:c r="N110" s="12" t="str">
        <x:v>Intraday</x:v>
      </x:c>
      <x:c r="O110" s="12" t="str">
        <x:v>Buy bullish option on RSI+PSAR alignment.</x:v>
      </x:c>
      <x:c r="P110" s="12" t="str">
        <x:v>Buy bearish option on bearish alignment.</x:v>
      </x:c>
      <x:c r="Q110" s="12" t="str">
        <x:v>Source-defined.</x:v>
      </x:c>
      <x:c r="R110" s="12" t="str">
        <x:v>RSI/PSAR; strikes; expiry</x:v>
      </x:c>
      <x:c r="S110" s="12" t="str">
        <x:v>Underlying OHLCV + full option chain/Greeks</x:v>
      </x:c>
      <x:c r="T110" s="12" t="str">
        <x:v>Inspect exact code before implementation; reproduce signal on independent data.</x:v>
      </x:c>
      <x:c r="U110" s="12" t="str">
        <x:v>Repository defaults may be framework-specific; source is not evidence of edge.</x:v>
      </x:c>
      <x:c r="V110" s="12" t="str">
        <x:v>Medium</x:v>
      </x:c>
      <x:c r="W110" s="12" t="str">
        <x:v>B</x:v>
      </x:c>
      <x:c r="X110" s="12" t="str">
        <x:v>https://github.com/algobulls/pyalgostrategypool/tree/master/pyalgostrategypool/strategy_options_buying_rsi_psar_crossover_intraday</x:v>
      </x:c>
      <x:c r="Y110" s="12" t="str">
        <x:v>2026-10-07</x:v>
      </x:c>
      <x:c r="Z110" s="12" t="str">
        <x:v>Exact repository implementation and parameter defaults must be inspected before executable MQD registration.</x:v>
      </x:c>
    </x:row>
    <x:row r="111" ht="48" customHeight="1">
      <x:c r="A111" s="12" t="str">
        <x:v>EXT-110</x:v>
      </x:c>
      <x:c r="B111" s="12" t="str">
        <x:v>Options Greek Delta Target Stoploss Intraday</x:v>
      </x:c>
      <x:c r="C111" s="12" t="str">
        <x:v>Options / Multi-Leg</x:v>
      </x:c>
      <x:c r="D111" s="12" t="str">
        <x:v>AlgoBulls pyalgostrategypool (GitHub)</x:v>
      </x:c>
      <x:c r="E111" s="12" t="str">
        <x:v>Open-source code</x:v>
      </x:c>
      <x:c r="F111" s="12" t="str">
        <x:v>Repository implementation; summary normalized from name/excerpts</x:v>
      </x:c>
      <x:c r="G111" s="14" t="n">
        <x:v>0.72</x:v>
      </x:c>
      <x:c r="H111" s="12" t="str">
        <x:v>Options</x:v>
      </x:c>
      <x:c r="I111" s="12" t="str">
        <x:v>Liquid optionable underlyings with listed options</x:v>
      </x:c>
      <x:c r="J111" s="12" t="str">
        <x:v>Directional option buying</x:v>
      </x:c>
      <x:c r="K111" s="12" t="str">
        <x:v>No</x:v>
      </x:c>
      <x:c r="L111" s="12" t="str">
        <x:v>No</x:v>
      </x:c>
      <x:c r="M111" s="12" t="str">
        <x:v>Intraday</x:v>
      </x:c>
      <x:c r="N111" s="12" t="str">
        <x:v>Intraday</x:v>
      </x:c>
      <x:c r="O111" s="12" t="str">
        <x:v>Select option using target delta and source target/stop rules.</x:v>
      </x:c>
      <x:c r="P111" s="12" t="str">
        <x:v>Bearish option side via delta target if source supports it.</x:v>
      </x:c>
      <x:c r="Q111" s="12" t="str">
        <x:v>Target/stop.</x:v>
      </x:c>
      <x:c r="R111" s="12" t="str">
        <x:v>Target delta; strike direction; target; stop</x:v>
      </x:c>
      <x:c r="S111" s="12" t="str">
        <x:v>Underlying OHLCV + full option chain/Greeks</x:v>
      </x:c>
      <x:c r="T111" s="12" t="str">
        <x:v>Inspect exact code before implementation; reproduce signal on independent data.</x:v>
      </x:c>
      <x:c r="U111" s="12" t="str">
        <x:v>Repository defaults may be framework-specific; source is not evidence of edge.</x:v>
      </x:c>
      <x:c r="V111" s="12" t="str">
        <x:v>Medium</x:v>
      </x:c>
      <x:c r="W111" s="12" t="str">
        <x:v>B</x:v>
      </x:c>
      <x:c r="X111" s="12" t="str">
        <x:v>https://github.com/algobulls/pyalgostrategypool/tree/master/pyalgostrategypool/strategy_options_greek_delta_target_stoploss_intraday</x:v>
      </x:c>
      <x:c r="Y111" s="12" t="str">
        <x:v>2026-10-07</x:v>
      </x:c>
      <x:c r="Z111" s="12" t="str">
        <x:v>Exact repository implementation and parameter defaults must be inspected before executable MQD registration.</x:v>
      </x:c>
    </x:row>
    <x:row r="112" ht="48" customHeight="1">
      <x:c r="A112" s="12" t="str">
        <x:v>EXT-111</x:v>
      </x:c>
      <x:c r="B112" s="12" t="str">
        <x:v>Options Long Call Diagonal Spread With Trailing Stoploss</x:v>
      </x:c>
      <x:c r="C112" s="12" t="str">
        <x:v>Options / Multi-Leg</x:v>
      </x:c>
      <x:c r="D112" s="12" t="str">
        <x:v>AlgoBulls pyalgostrategypool (GitHub)</x:v>
      </x:c>
      <x:c r="E112" s="12" t="str">
        <x:v>Open-source code</x:v>
      </x:c>
      <x:c r="F112" s="12" t="str">
        <x:v>Repository implementation; summary normalized from name/excerpts</x:v>
      </x:c>
      <x:c r="G112" s="14" t="n">
        <x:v>0.72</x:v>
      </x:c>
      <x:c r="H112" s="12" t="str">
        <x:v>Options</x:v>
      </x:c>
      <x:c r="I112" s="12" t="str">
        <x:v>Liquid optionable underlyings with listed options</x:v>
      </x:c>
      <x:c r="J112" s="12" t="str">
        <x:v>Bullish/volatility options</x:v>
      </x:c>
      <x:c r="K112" s="12" t="str">
        <x:v>No</x:v>
      </x:c>
      <x:c r="L112" s="12" t="str">
        <x:v>No</x:v>
      </x:c>
      <x:c r="M112" s="12" t="str">
        <x:v>Swing</x:v>
      </x:c>
      <x:c r="N112" s="12" t="str">
        <x:v>Daily/Intraday</x:v>
      </x:c>
      <x:c r="O112" s="12" t="str">
        <x:v>Long call diagonal spread with source trailing-stop logic.</x:v>
      </x:c>
      <x:c r="P112" s="12" t="str">
        <x:v>N/A</x:v>
      </x:c>
      <x:c r="Q112" s="12" t="str">
        <x:v>Trailing stop/source-defined.</x:v>
      </x:c>
      <x:c r="R112" s="12" t="str">
        <x:v>Near/far expiries; strikes; trail</x:v>
      </x:c>
      <x:c r="S112" s="12" t="str">
        <x:v>Underlying OHLCV + full option chain/Greeks</x:v>
      </x:c>
      <x:c r="T112" s="12" t="str">
        <x:v>Inspect exact code before implementation; reproduce signal on independent data.</x:v>
      </x:c>
      <x:c r="U112" s="12" t="str">
        <x:v>Repository defaults may be framework-specific; source is not evidence of edge.</x:v>
      </x:c>
      <x:c r="V112" s="12" t="str">
        <x:v>Medium</x:v>
      </x:c>
      <x:c r="W112" s="12" t="str">
        <x:v>B</x:v>
      </x:c>
      <x:c r="X112" s="12" t="str">
        <x:v>https://github.com/algobulls/pyalgostrategypool/tree/master/pyalgostrategypool/strategy_options_long_call_diagonal_spread_with_trailing_stoploss</x:v>
      </x:c>
      <x:c r="Y112" s="12" t="str">
        <x:v>2026-10-07</x:v>
      </x:c>
      <x:c r="Z112" s="12" t="str">
        <x:v>Exact repository implementation and parameter defaults must be inspected before executable MQD registration.</x:v>
      </x:c>
    </x:row>
    <x:row r="113" ht="48" customHeight="1">
      <x:c r="A113" s="12" t="str">
        <x:v>EXT-112</x:v>
      </x:c>
      <x:c r="B113" s="12" t="str">
        <x:v>Options Long Iron Butterfly Intraday</x:v>
      </x:c>
      <x:c r="C113" s="12" t="str">
        <x:v>Options / Multi-Leg</x:v>
      </x:c>
      <x:c r="D113" s="12" t="str">
        <x:v>AlgoBulls pyalgostrategypool (GitHub)</x:v>
      </x:c>
      <x:c r="E113" s="12" t="str">
        <x:v>Open-source code</x:v>
      </x:c>
      <x:c r="F113" s="12" t="str">
        <x:v>Repository implementation; summary normalized from name/excerpts</x:v>
      </x:c>
      <x:c r="G113" s="14" t="n">
        <x:v>0.72</x:v>
      </x:c>
      <x:c r="H113" s="12" t="str">
        <x:v>Options</x:v>
      </x:c>
      <x:c r="I113" s="12" t="str">
        <x:v>Liquid optionable underlyings with listed options</x:v>
      </x:c>
      <x:c r="J113" s="12" t="str">
        <x:v>Defined-risk long-vol options</x:v>
      </x:c>
      <x:c r="K113" s="12" t="str">
        <x:v>No</x:v>
      </x:c>
      <x:c r="L113" s="12" t="str">
        <x:v>No</x:v>
      </x:c>
      <x:c r="M113" s="12" t="str">
        <x:v>Intraday</x:v>
      </x:c>
      <x:c r="N113" s="12" t="str">
        <x:v>Intraday</x:v>
      </x:c>
      <x:c r="O113" s="12" t="str">
        <x:v>Long iron-butterfly construction per source; verify legs.</x:v>
      </x:c>
      <x:c r="P113" s="12" t="str">
        <x:v>N/A</x:v>
      </x:c>
      <x:c r="Q113" s="12" t="str">
        <x:v>Source-defined.</x:v>
      </x:c>
      <x:c r="R113" s="12" t="str">
        <x:v>Strikes; expiry</x:v>
      </x:c>
      <x:c r="S113" s="12" t="str">
        <x:v>Underlying OHLCV + full option chain/Greeks</x:v>
      </x:c>
      <x:c r="T113" s="12" t="str">
        <x:v>Inspect exact code before implementation; reproduce signal on independent data.</x:v>
      </x:c>
      <x:c r="U113" s="12" t="str">
        <x:v>Repository defaults may be framework-specific; source is not evidence of edge.</x:v>
      </x:c>
      <x:c r="V113" s="12" t="str">
        <x:v>Medium</x:v>
      </x:c>
      <x:c r="W113" s="12" t="str">
        <x:v>B</x:v>
      </x:c>
      <x:c r="X113" s="12" t="str">
        <x:v>https://github.com/algobulls/pyalgostrategypool/tree/master/pyalgostrategypool/strategy_options_long_iron_butterfly_intraday</x:v>
      </x:c>
      <x:c r="Y113" s="12" t="str">
        <x:v>2026-10-07</x:v>
      </x:c>
      <x:c r="Z113" s="12" t="str">
        <x:v>Exact repository implementation and parameter defaults must be inspected before executable MQD registration.</x:v>
      </x:c>
    </x:row>
    <x:row r="114" ht="48" customHeight="1">
      <x:c r="A114" s="12" t="str">
        <x:v>EXT-113</x:v>
      </x:c>
      <x:c r="B114" s="12" t="str">
        <x:v>Options Long Iron Condor With Reentry</x:v>
      </x:c>
      <x:c r="C114" s="12" t="str">
        <x:v>Options / Multi-Leg</x:v>
      </x:c>
      <x:c r="D114" s="12" t="str">
        <x:v>AlgoBulls pyalgostrategypool (GitHub)</x:v>
      </x:c>
      <x:c r="E114" s="12" t="str">
        <x:v>Open-source code</x:v>
      </x:c>
      <x:c r="F114" s="12" t="str">
        <x:v>Repository implementation; summary normalized from name/excerpts</x:v>
      </x:c>
      <x:c r="G114" s="14" t="n">
        <x:v>0.72</x:v>
      </x:c>
      <x:c r="H114" s="12" t="str">
        <x:v>Options</x:v>
      </x:c>
      <x:c r="I114" s="12" t="str">
        <x:v>Liquid optionable underlyings with listed options</x:v>
      </x:c>
      <x:c r="J114" s="12" t="str">
        <x:v>Defined-risk neutral options</x:v>
      </x:c>
      <x:c r="K114" s="12" t="str">
        <x:v>No</x:v>
      </x:c>
      <x:c r="L114" s="12" t="str">
        <x:v>No</x:v>
      </x:c>
      <x:c r="M114" s="12" t="str">
        <x:v>Swing</x:v>
      </x:c>
      <x:c r="N114" s="12" t="str">
        <x:v>Daily/Intraday</x:v>
      </x:c>
      <x:c r="O114" s="12" t="str">
        <x:v>N/A</x:v>
      </x:c>
      <x:c r="P114" s="12" t="str">
        <x:v>Iron-condor premium structure with re-entry; verify exact long/short wings.</x:v>
      </x:c>
      <x:c r="Q114" s="12" t="str">
        <x:v>Re-entry / source exits.</x:v>
      </x:c>
      <x:c r="R114" s="12" t="str">
        <x:v>Wing widths; expiry; re-entry</x:v>
      </x:c>
      <x:c r="S114" s="12" t="str">
        <x:v>Underlying OHLCV + full option chain/Greeks</x:v>
      </x:c>
      <x:c r="T114" s="12" t="str">
        <x:v>Inspect exact code before implementation; reproduce signal on independent data.</x:v>
      </x:c>
      <x:c r="U114" s="12" t="str">
        <x:v>Repository defaults may be framework-specific; source is not evidence of edge.</x:v>
      </x:c>
      <x:c r="V114" s="12" t="str">
        <x:v>Medium</x:v>
      </x:c>
      <x:c r="W114" s="12" t="str">
        <x:v>B</x:v>
      </x:c>
      <x:c r="X114" s="12" t="str">
        <x:v>https://github.com/algobulls/pyalgostrategypool/tree/master/pyalgostrategypool/strategy_options_long_iron_condor_with_reentry</x:v>
      </x:c>
      <x:c r="Y114" s="12" t="str">
        <x:v>2026-10-07</x:v>
      </x:c>
      <x:c r="Z114" s="12" t="str">
        <x:v>Exact repository implementation and parameter defaults must be inspected before executable MQD registration.</x:v>
      </x:c>
    </x:row>
    <x:row r="115" ht="48" customHeight="1">
      <x:c r="A115" s="12" t="str">
        <x:v>EXT-114</x:v>
      </x:c>
      <x:c r="B115" s="12" t="str">
        <x:v>Options Put Call Ratio Intraday</x:v>
      </x:c>
      <x:c r="C115" s="12" t="str">
        <x:v>Options / Multi-Leg</x:v>
      </x:c>
      <x:c r="D115" s="12" t="str">
        <x:v>AlgoBulls pyalgostrategypool (GitHub)</x:v>
      </x:c>
      <x:c r="E115" s="12" t="str">
        <x:v>Open-source code</x:v>
      </x:c>
      <x:c r="F115" s="12" t="str">
        <x:v>Repository implementation; summary normalized from name/excerpts</x:v>
      </x:c>
      <x:c r="G115" s="14" t="n">
        <x:v>0.72</x:v>
      </x:c>
      <x:c r="H115" s="12" t="str">
        <x:v>Options</x:v>
      </x:c>
      <x:c r="I115" s="12" t="str">
        <x:v>Liquid optionable underlyings with listed options</x:v>
      </x:c>
      <x:c r="J115" s="12" t="str">
        <x:v>Options sentiment/ratio</x:v>
      </x:c>
      <x:c r="K115" s="12" t="str">
        <x:v>No</x:v>
      </x:c>
      <x:c r="L115" s="12" t="str">
        <x:v>No</x:v>
      </x:c>
      <x:c r="M115" s="12" t="str">
        <x:v>Intraday</x:v>
      </x:c>
      <x:c r="N115" s="12" t="str">
        <x:v>Intraday</x:v>
      </x:c>
      <x:c r="O115" s="12" t="str">
        <x:v>Trade bullish condition from put/call ratio per repository.</x:v>
      </x:c>
      <x:c r="P115" s="12" t="str">
        <x:v>Trade bearish condition from put/call ratio per repository.</x:v>
      </x:c>
      <x:c r="Q115" s="12" t="str">
        <x:v>Source-defined.</x:v>
      </x:c>
      <x:c r="R115" s="12" t="str">
        <x:v>PCR window/thresholds</x:v>
      </x:c>
      <x:c r="S115" s="12" t="str">
        <x:v>Underlying OHLCV + full option chain/Greeks</x:v>
      </x:c>
      <x:c r="T115" s="12" t="str">
        <x:v>Inspect exact code before implementation; reproduce signal on independent data.</x:v>
      </x:c>
      <x:c r="U115" s="12" t="str">
        <x:v>Repository defaults may be framework-specific; source is not evidence of edge.</x:v>
      </x:c>
      <x:c r="V115" s="12" t="str">
        <x:v>Medium</x:v>
      </x:c>
      <x:c r="W115" s="12" t="str">
        <x:v>B</x:v>
      </x:c>
      <x:c r="X115" s="12" t="str">
        <x:v>https://github.com/algobulls/pyalgostrategypool/tree/master/pyalgostrategypool/strategy_options_put_call_ratio_intraday</x:v>
      </x:c>
      <x:c r="Y115" s="12" t="str">
        <x:v>2026-10-07</x:v>
      </x:c>
      <x:c r="Z115" s="12" t="str">
        <x:v>Exact repository implementation and parameter defaults must be inspected before executable MQD registration.</x:v>
      </x:c>
    </x:row>
    <x:row r="116" ht="48" customHeight="1">
      <x:c r="A116" s="12" t="str">
        <x:v>EXT-115</x:v>
      </x:c>
      <x:c r="B116" s="12" t="str">
        <x:v>Options Short Call Butterfly With Price Exits And Reentry</x:v>
      </x:c>
      <x:c r="C116" s="12" t="str">
        <x:v>Options / Multi-Leg</x:v>
      </x:c>
      <x:c r="D116" s="12" t="str">
        <x:v>AlgoBulls pyalgostrategypool (GitHub)</x:v>
      </x:c>
      <x:c r="E116" s="12" t="str">
        <x:v>Open-source code</x:v>
      </x:c>
      <x:c r="F116" s="12" t="str">
        <x:v>Repository implementation; summary normalized from name/excerpts</x:v>
      </x:c>
      <x:c r="G116" s="14" t="n">
        <x:v>0.72</x:v>
      </x:c>
      <x:c r="H116" s="12" t="str">
        <x:v>Options</x:v>
      </x:c>
      <x:c r="I116" s="12" t="str">
        <x:v>Liquid optionable underlyings with listed options</x:v>
      </x:c>
      <x:c r="J116" s="12" t="str">
        <x:v>Multi-leg options</x:v>
      </x:c>
      <x:c r="K116" s="12" t="str">
        <x:v>No</x:v>
      </x:c>
      <x:c r="L116" s="12" t="str">
        <x:v>No</x:v>
      </x:c>
      <x:c r="M116" s="12" t="str">
        <x:v>Swing</x:v>
      </x:c>
      <x:c r="N116" s="12" t="str">
        <x:v>Daily/Intraday</x:v>
      </x:c>
      <x:c r="O116" s="12" t="str">
        <x:v>N/A</x:v>
      </x:c>
      <x:c r="P116" s="12" t="str">
        <x:v>Short call butterfly structure with price exits/re-entry per source.</x:v>
      </x:c>
      <x:c r="Q116" s="12" t="str">
        <x:v>Price exits/re-entry.</x:v>
      </x:c>
      <x:c r="R116" s="12" t="str">
        <x:v>Call strikes; expiry; exit thresholds</x:v>
      </x:c>
      <x:c r="S116" s="12" t="str">
        <x:v>Underlying OHLCV + full option chain/Greeks</x:v>
      </x:c>
      <x:c r="T116" s="12" t="str">
        <x:v>Inspect exact code before implementation; reproduce signal on independent data.</x:v>
      </x:c>
      <x:c r="U116" s="12" t="str">
        <x:v>Repository defaults may be framework-specific; source is not evidence of edge.</x:v>
      </x:c>
      <x:c r="V116" s="12" t="str">
        <x:v>Medium</x:v>
      </x:c>
      <x:c r="W116" s="12" t="str">
        <x:v>B</x:v>
      </x:c>
      <x:c r="X116" s="12" t="str">
        <x:v>https://github.com/algobulls/pyalgostrategypool/tree/master/pyalgostrategypool/strategy_options_short_call_butterfly_with_price_exits_and_reentry</x:v>
      </x:c>
      <x:c r="Y116" s="12" t="str">
        <x:v>2026-10-07</x:v>
      </x:c>
      <x:c r="Z116" s="12" t="str">
        <x:v>Exact repository implementation and parameter defaults must be inspected before executable MQD registration.</x:v>
      </x:c>
    </x:row>
    <x:row r="117" ht="48" customHeight="1">
      <x:c r="A117" s="12" t="str">
        <x:v>EXT-116</x:v>
      </x:c>
      <x:c r="B117" s="12" t="str">
        <x:v>Options Short Iron Butterfly With Reentry</x:v>
      </x:c>
      <x:c r="C117" s="12" t="str">
        <x:v>Options / Multi-Leg</x:v>
      </x:c>
      <x:c r="D117" s="12" t="str">
        <x:v>AlgoBulls pyalgostrategypool (GitHub)</x:v>
      </x:c>
      <x:c r="E117" s="12" t="str">
        <x:v>Open-source code</x:v>
      </x:c>
      <x:c r="F117" s="12" t="str">
        <x:v>Repository implementation; summary normalized from name/excerpts</x:v>
      </x:c>
      <x:c r="G117" s="14" t="n">
        <x:v>0.72</x:v>
      </x:c>
      <x:c r="H117" s="12" t="str">
        <x:v>Options</x:v>
      </x:c>
      <x:c r="I117" s="12" t="str">
        <x:v>Liquid optionable underlyings with listed options</x:v>
      </x:c>
      <x:c r="J117" s="12" t="str">
        <x:v>Defined-risk short-vol options</x:v>
      </x:c>
      <x:c r="K117" s="12" t="str">
        <x:v>No</x:v>
      </x:c>
      <x:c r="L117" s="12" t="str">
        <x:v>No</x:v>
      </x:c>
      <x:c r="M117" s="12" t="str">
        <x:v>Swing</x:v>
      </x:c>
      <x:c r="N117" s="12" t="str">
        <x:v>Daily/Intraday</x:v>
      </x:c>
      <x:c r="O117" s="12" t="str">
        <x:v>N/A</x:v>
      </x:c>
      <x:c r="P117" s="12" t="str">
        <x:v>Short ATM call+put with long wings; re-entry/risk rules per source.</x:v>
      </x:c>
      <x:c r="Q117" s="12" t="str">
        <x:v>Risk exits / re-entry.</x:v>
      </x:c>
      <x:c r="R117" s="12" t="str">
        <x:v>Wing width; expiry; re-entry</x:v>
      </x:c>
      <x:c r="S117" s="12" t="str">
        <x:v>Underlying OHLCV + full option chain/Greeks</x:v>
      </x:c>
      <x:c r="T117" s="12" t="str">
        <x:v>Inspect exact code before implementation; reproduce signal on independent data.</x:v>
      </x:c>
      <x:c r="U117" s="12" t="str">
        <x:v>Repository defaults may be framework-specific; source is not evidence of edge.</x:v>
      </x:c>
      <x:c r="V117" s="12" t="str">
        <x:v>Medium</x:v>
      </x:c>
      <x:c r="W117" s="12" t="str">
        <x:v>B</x:v>
      </x:c>
      <x:c r="X117" s="12" t="str">
        <x:v>https://github.com/algobulls/pyalgostrategypool/tree/master/pyalgostrategypool/strategy_options_short_iron_butterfly_with_reentry</x:v>
      </x:c>
      <x:c r="Y117" s="12" t="str">
        <x:v>2026-10-07</x:v>
      </x:c>
      <x:c r="Z117" s="12" t="str">
        <x:v>Exact repository implementation and parameter defaults must be inspected before executable MQD registration.</x:v>
      </x:c>
    </x:row>
    <x:row r="118" ht="48" customHeight="1">
      <x:c r="A118" s="12" t="str">
        <x:v>EXT-117</x:v>
      </x:c>
      <x:c r="B118" s="12" t="str">
        <x:v>Options Short Jade Lizard Net Value Exits Reentry</x:v>
      </x:c>
      <x:c r="C118" s="12" t="str">
        <x:v>Options / Multi-Leg</x:v>
      </x:c>
      <x:c r="D118" s="12" t="str">
        <x:v>AlgoBulls pyalgostrategypool (GitHub)</x:v>
      </x:c>
      <x:c r="E118" s="12" t="str">
        <x:v>Open-source code</x:v>
      </x:c>
      <x:c r="F118" s="12" t="str">
        <x:v>Repository implementation; summary normalized from name/excerpts</x:v>
      </x:c>
      <x:c r="G118" s="14" t="n">
        <x:v>0.72</x:v>
      </x:c>
      <x:c r="H118" s="12" t="str">
        <x:v>Options</x:v>
      </x:c>
      <x:c r="I118" s="12" t="str">
        <x:v>Liquid optionable underlyings with listed options</x:v>
      </x:c>
      <x:c r="J118" s="12" t="str">
        <x:v>Defined-risk neutral/bullish options</x:v>
      </x:c>
      <x:c r="K118" s="12" t="str">
        <x:v>No</x:v>
      </x:c>
      <x:c r="L118" s="12" t="str">
        <x:v>No</x:v>
      </x:c>
      <x:c r="M118" s="12" t="str">
        <x:v>Swing</x:v>
      </x:c>
      <x:c r="N118" s="12" t="str">
        <x:v>Daily/Intraday</x:v>
      </x:c>
      <x:c r="O118" s="12" t="str">
        <x:v>Jade lizard: short OTM put + short OTM call + long farther OTM call.</x:v>
      </x:c>
      <x:c r="P118" s="12" t="str">
        <x:v>N/A</x:v>
      </x:c>
      <x:c r="Q118" s="12" t="str">
        <x:v>Net-value exits/re-entry per source.</x:v>
      </x:c>
      <x:c r="R118" s="12" t="str">
        <x:v>Strikes; expiry; net-value exits</x:v>
      </x:c>
      <x:c r="S118" s="12" t="str">
        <x:v>Underlying OHLCV + full option chain/Greeks</x:v>
      </x:c>
      <x:c r="T118" s="12" t="str">
        <x:v>Inspect exact code before implementation; reproduce signal on independent data.</x:v>
      </x:c>
      <x:c r="U118" s="12" t="str">
        <x:v>Repository defaults may be framework-specific; source is not evidence of edge.</x:v>
      </x:c>
      <x:c r="V118" s="12" t="str">
        <x:v>Medium</x:v>
      </x:c>
      <x:c r="W118" s="12" t="str">
        <x:v>B</x:v>
      </x:c>
      <x:c r="X118" s="12" t="str">
        <x:v>https://github.com/algobulls/pyalgostrategypool/tree/master/pyalgostrategypool/strategy_options_short_jade_lizard_net_value_exits_reentry</x:v>
      </x:c>
      <x:c r="Y118" s="12" t="str">
        <x:v>2026-10-07</x:v>
      </x:c>
      <x:c r="Z118" s="12" t="str">
        <x:v>Exact repository implementation and parameter defaults must be inspected before executable MQD registration.</x:v>
      </x:c>
    </x:row>
    <x:row r="119" ht="48" customHeight="1">
      <x:c r="A119" s="12" t="str">
        <x:v>EXT-118</x:v>
      </x:c>
      <x:c r="B119" s="12" t="str">
        <x:v>Options Short Straddle With Sl Intraday</x:v>
      </x:c>
      <x:c r="C119" s="12" t="str">
        <x:v>Options / Multi-Leg</x:v>
      </x:c>
      <x:c r="D119" s="12" t="str">
        <x:v>AlgoBulls pyalgostrategypool (GitHub)</x:v>
      </x:c>
      <x:c r="E119" s="12" t="str">
        <x:v>Open-source code</x:v>
      </x:c>
      <x:c r="F119" s="12" t="str">
        <x:v>Repository implementation; summary normalized from name/excerpts</x:v>
      </x:c>
      <x:c r="G119" s="14" t="n">
        <x:v>0.72</x:v>
      </x:c>
      <x:c r="H119" s="12" t="str">
        <x:v>Options</x:v>
      </x:c>
      <x:c r="I119" s="12" t="str">
        <x:v>Liquid optionable underlyings with listed options</x:v>
      </x:c>
      <x:c r="J119" s="12" t="str">
        <x:v>Short volatility options</x:v>
      </x:c>
      <x:c r="K119" s="12" t="str">
        <x:v>No</x:v>
      </x:c>
      <x:c r="L119" s="12" t="str">
        <x:v>No</x:v>
      </x:c>
      <x:c r="M119" s="12" t="str">
        <x:v>Intraday</x:v>
      </x:c>
      <x:c r="N119" s="12" t="str">
        <x:v>Intraday</x:v>
      </x:c>
      <x:c r="O119" s="12" t="str">
        <x:v>N/A</x:v>
      </x:c>
      <x:c r="P119" s="12" t="str">
        <x:v>Sell ATM call + ATM put; source adds stop/target risk control.</x:v>
      </x:c>
      <x:c r="Q119" s="12" t="str">
        <x:v>Stop/target/time exit.</x:v>
      </x:c>
      <x:c r="R119" s="12" t="str">
        <x:v>ATM strike; expiry; SL/target</x:v>
      </x:c>
      <x:c r="S119" s="12" t="str">
        <x:v>Underlying OHLCV + full option chain/Greeks</x:v>
      </x:c>
      <x:c r="T119" s="12" t="str">
        <x:v>Inspect exact code before implementation; reproduce signal on independent data.</x:v>
      </x:c>
      <x:c r="U119" s="12" t="str">
        <x:v>Repository defaults may be framework-specific; source is not evidence of edge.</x:v>
      </x:c>
      <x:c r="V119" s="12" t="str">
        <x:v>Medium</x:v>
      </x:c>
      <x:c r="W119" s="12" t="str">
        <x:v>B</x:v>
      </x:c>
      <x:c r="X119" s="12" t="str">
        <x:v>https://github.com/algobulls/pyalgostrategypool/tree/master/pyalgostrategypool/strategy_options_short_straddle_with_sl_Intraday</x:v>
      </x:c>
      <x:c r="Y119" s="12" t="str">
        <x:v>2026-10-07</x:v>
      </x:c>
      <x:c r="Z119" s="12" t="str">
        <x:v>Exact repository implementation and parameter defaults must be inspected before executable MQD registration.</x:v>
      </x:c>
    </x:row>
    <x:row r="120" ht="48" customHeight="1">
      <x:c r="A120" s="12" t="str">
        <x:v>EXT-119</x:v>
      </x:c>
      <x:c r="B120" s="12" t="str">
        <x:v>Options Short Straddle With Target Risk Control</x:v>
      </x:c>
      <x:c r="C120" s="12" t="str">
        <x:v>Options / Multi-Leg</x:v>
      </x:c>
      <x:c r="D120" s="12" t="str">
        <x:v>AlgoBulls pyalgostrategypool (GitHub)</x:v>
      </x:c>
      <x:c r="E120" s="12" t="str">
        <x:v>Open-source code</x:v>
      </x:c>
      <x:c r="F120" s="12" t="str">
        <x:v>Repository implementation; summary normalized from name/excerpts</x:v>
      </x:c>
      <x:c r="G120" s="14" t="n">
        <x:v>0.72</x:v>
      </x:c>
      <x:c r="H120" s="12" t="str">
        <x:v>Options</x:v>
      </x:c>
      <x:c r="I120" s="12" t="str">
        <x:v>Liquid optionable underlyings with listed options</x:v>
      </x:c>
      <x:c r="J120" s="12" t="str">
        <x:v>Short volatility options</x:v>
      </x:c>
      <x:c r="K120" s="12" t="str">
        <x:v>No</x:v>
      </x:c>
      <x:c r="L120" s="12" t="str">
        <x:v>No</x:v>
      </x:c>
      <x:c r="M120" s="12" t="str">
        <x:v>Swing</x:v>
      </x:c>
      <x:c r="N120" s="12" t="str">
        <x:v>Daily/Intraday</x:v>
      </x:c>
      <x:c r="O120" s="12" t="str">
        <x:v>N/A</x:v>
      </x:c>
      <x:c r="P120" s="12" t="str">
        <x:v>Sell ATM call + ATM put; source adds stop/target risk control.</x:v>
      </x:c>
      <x:c r="Q120" s="12" t="str">
        <x:v>Stop/target/time exit.</x:v>
      </x:c>
      <x:c r="R120" s="12" t="str">
        <x:v>ATM strike; expiry; SL/target</x:v>
      </x:c>
      <x:c r="S120" s="12" t="str">
        <x:v>Underlying OHLCV + full option chain/Greeks</x:v>
      </x:c>
      <x:c r="T120" s="12" t="str">
        <x:v>Inspect exact code before implementation; reproduce signal on independent data.</x:v>
      </x:c>
      <x:c r="U120" s="12" t="str">
        <x:v>Repository defaults may be framework-specific; source is not evidence of edge.</x:v>
      </x:c>
      <x:c r="V120" s="12" t="str">
        <x:v>Medium</x:v>
      </x:c>
      <x:c r="W120" s="12" t="str">
        <x:v>B</x:v>
      </x:c>
      <x:c r="X120" s="12" t="str">
        <x:v>https://github.com/algobulls/pyalgostrategypool/tree/master/pyalgostrategypool/strategy_options_short_straddle_with_target_risk_control</x:v>
      </x:c>
      <x:c r="Y120" s="12" t="str">
        <x:v>2026-10-07</x:v>
      </x:c>
      <x:c r="Z120" s="12" t="str">
        <x:v>Exact repository implementation and parameter defaults must be inspected before executable MQD registration.</x:v>
      </x:c>
    </x:row>
    <x:row r="121" ht="48" customHeight="1">
      <x:c r="A121" s="12" t="str">
        <x:v>EXT-120</x:v>
      </x:c>
      <x:c r="B121" s="12" t="str">
        <x:v>Options Short Strangle With Target Risk Control</x:v>
      </x:c>
      <x:c r="C121" s="12" t="str">
        <x:v>Options / Multi-Leg</x:v>
      </x:c>
      <x:c r="D121" s="12" t="str">
        <x:v>AlgoBulls pyalgostrategypool (GitHub)</x:v>
      </x:c>
      <x:c r="E121" s="12" t="str">
        <x:v>Open-source code</x:v>
      </x:c>
      <x:c r="F121" s="12" t="str">
        <x:v>Repository implementation; summary normalized from name/excerpts</x:v>
      </x:c>
      <x:c r="G121" s="14" t="n">
        <x:v>0.72</x:v>
      </x:c>
      <x:c r="H121" s="12" t="str">
        <x:v>Options</x:v>
      </x:c>
      <x:c r="I121" s="12" t="str">
        <x:v>Liquid optionable underlyings with listed options</x:v>
      </x:c>
      <x:c r="J121" s="12" t="str">
        <x:v>Short volatility options</x:v>
      </x:c>
      <x:c r="K121" s="12" t="str">
        <x:v>No</x:v>
      </x:c>
      <x:c r="L121" s="12" t="str">
        <x:v>No</x:v>
      </x:c>
      <x:c r="M121" s="12" t="str">
        <x:v>Swing</x:v>
      </x:c>
      <x:c r="N121" s="12" t="str">
        <x:v>Daily/Intraday</x:v>
      </x:c>
      <x:c r="O121" s="12" t="str">
        <x:v>N/A</x:v>
      </x:c>
      <x:c r="P121" s="12" t="str">
        <x:v>Sell OTM call + OTM put; source adds target/risk control.</x:v>
      </x:c>
      <x:c r="Q121" s="12" t="str">
        <x:v>Stop/target/time exit.</x:v>
      </x:c>
      <x:c r="R121" s="12" t="str">
        <x:v>OTM distance; expiry; risk limits</x:v>
      </x:c>
      <x:c r="S121" s="12" t="str">
        <x:v>Underlying OHLCV + full option chain/Greeks</x:v>
      </x:c>
      <x:c r="T121" s="12" t="str">
        <x:v>Inspect exact code before implementation; reproduce signal on independent data.</x:v>
      </x:c>
      <x:c r="U121" s="12" t="str">
        <x:v>Repository defaults may be framework-specific; source is not evidence of edge.</x:v>
      </x:c>
      <x:c r="V121" s="12" t="str">
        <x:v>Medium</x:v>
      </x:c>
      <x:c r="W121" s="12" t="str">
        <x:v>B</x:v>
      </x:c>
      <x:c r="X121" s="12" t="str">
        <x:v>https://github.com/algobulls/pyalgostrategypool/tree/master/pyalgostrategypool/strategy_options_short_strangle_with_target_risk_control</x:v>
      </x:c>
      <x:c r="Y121" s="12" t="str">
        <x:v>2026-10-07</x:v>
      </x:c>
      <x:c r="Z121" s="12" t="str">
        <x:v>Exact repository implementation and parameter defaults must be inspected before executable MQD registration.</x:v>
      </x:c>
    </x:row>
    <x:row r="122" ht="48" customHeight="1">
      <x:c r="A122" s="12" t="str">
        <x:v>EXT-121</x:v>
      </x:c>
      <x:c r="B122" s="12" t="str">
        <x:v>Options Straddle Intraday</x:v>
      </x:c>
      <x:c r="C122" s="12" t="str">
        <x:v>Options / Multi-Leg</x:v>
      </x:c>
      <x:c r="D122" s="12" t="str">
        <x:v>AlgoBulls pyalgostrategypool (GitHub)</x:v>
      </x:c>
      <x:c r="E122" s="12" t="str">
        <x:v>Open-source code</x:v>
      </x:c>
      <x:c r="F122" s="12" t="str">
        <x:v>Repository implementation; summary normalized from name/excerpts</x:v>
      </x:c>
      <x:c r="G122" s="14" t="n">
        <x:v>0.72</x:v>
      </x:c>
      <x:c r="H122" s="12" t="str">
        <x:v>Options</x:v>
      </x:c>
      <x:c r="I122" s="12" t="str">
        <x:v>Liquid optionable underlyings with listed options</x:v>
      </x:c>
      <x:c r="J122" s="12" t="str">
        <x:v>Long/short volatility depending configured leg directions</x:v>
      </x:c>
      <x:c r="K122" s="12" t="str">
        <x:v>No</x:v>
      </x:c>
      <x:c r="L122" s="12" t="str">
        <x:v>No</x:v>
      </x:c>
      <x:c r="M122" s="12" t="str">
        <x:v>Intraday</x:v>
      </x:c>
      <x:c r="N122" s="12" t="str">
        <x:v>Intraday</x:v>
      </x:c>
      <x:c r="O122" s="12" t="str">
        <x:v>Long-vol variant: buy ATM call + put when expecting large move.</x:v>
      </x:c>
      <x:c r="P122" s="12" t="str">
        <x:v>Short-vol variant if configured; verify repository default leg directions.</x:v>
      </x:c>
      <x:c r="Q122" s="12" t="str">
        <x:v>Intraday/source-defined.</x:v>
      </x:c>
      <x:c r="R122" s="12" t="str">
        <x:v>Strike; expiry; leg directions</x:v>
      </x:c>
      <x:c r="S122" s="12" t="str">
        <x:v>Underlying OHLCV + full option chain/Greeks</x:v>
      </x:c>
      <x:c r="T122" s="12" t="str">
        <x:v>Inspect exact code before implementation; reproduce signal on independent data.</x:v>
      </x:c>
      <x:c r="U122" s="12" t="str">
        <x:v>Repository defaults may be framework-specific; source is not evidence of edge.</x:v>
      </x:c>
      <x:c r="V122" s="12" t="str">
        <x:v>Medium</x:v>
      </x:c>
      <x:c r="W122" s="12" t="str">
        <x:v>B</x:v>
      </x:c>
      <x:c r="X122" s="12" t="str">
        <x:v>https://github.com/algobulls/pyalgostrategypool/tree/master/pyalgostrategypool/strategy_options_straddle_intraday</x:v>
      </x:c>
      <x:c r="Y122" s="12" t="str">
        <x:v>2026-10-07</x:v>
      </x:c>
      <x:c r="Z122" s="12" t="str">
        <x:v>Exact repository implementation and parameter defaults must be inspected before executable MQD registration.</x:v>
      </x:c>
    </x:row>
    <x:row r="123" ht="48" customHeight="1">
      <x:c r="A123" s="12" t="str">
        <x:v>EXT-122</x:v>
      </x:c>
      <x:c r="B123" s="12" t="str">
        <x:v>Options Strangle Intraday</x:v>
      </x:c>
      <x:c r="C123" s="12" t="str">
        <x:v>Options / Multi-Leg</x:v>
      </x:c>
      <x:c r="D123" s="12" t="str">
        <x:v>AlgoBulls pyalgostrategypool (GitHub)</x:v>
      </x:c>
      <x:c r="E123" s="12" t="str">
        <x:v>Open-source code</x:v>
      </x:c>
      <x:c r="F123" s="12" t="str">
        <x:v>Repository implementation; summary normalized from name/excerpts</x:v>
      </x:c>
      <x:c r="G123" s="14" t="n">
        <x:v>0.72</x:v>
      </x:c>
      <x:c r="H123" s="12" t="str">
        <x:v>Options</x:v>
      </x:c>
      <x:c r="I123" s="12" t="str">
        <x:v>Liquid optionable underlyings with listed options</x:v>
      </x:c>
      <x:c r="J123" s="12" t="str">
        <x:v>Long/short volatility depending configured leg directions</x:v>
      </x:c>
      <x:c r="K123" s="12" t="str">
        <x:v>No</x:v>
      </x:c>
      <x:c r="L123" s="12" t="str">
        <x:v>No</x:v>
      </x:c>
      <x:c r="M123" s="12" t="str">
        <x:v>Intraday</x:v>
      </x:c>
      <x:c r="N123" s="12" t="str">
        <x:v>Intraday</x:v>
      </x:c>
      <x:c r="O123" s="12" t="str">
        <x:v>Long-vol variant: buy OTM call + put.</x:v>
      </x:c>
      <x:c r="P123" s="12" t="str">
        <x:v>Short-vol variant if configured; verify defaults.</x:v>
      </x:c>
      <x:c r="Q123" s="12" t="str">
        <x:v>Intraday/source-defined.</x:v>
      </x:c>
      <x:c r="R123" s="12" t="str">
        <x:v>OTM strikes; expiry; leg directions</x:v>
      </x:c>
      <x:c r="S123" s="12" t="str">
        <x:v>Underlying OHLCV + full option chain/Greeks</x:v>
      </x:c>
      <x:c r="T123" s="12" t="str">
        <x:v>Inspect exact code before implementation; reproduce signal on independent data.</x:v>
      </x:c>
      <x:c r="U123" s="12" t="str">
        <x:v>Repository defaults may be framework-specific; source is not evidence of edge.</x:v>
      </x:c>
      <x:c r="V123" s="12" t="str">
        <x:v>Medium</x:v>
      </x:c>
      <x:c r="W123" s="12" t="str">
        <x:v>B</x:v>
      </x:c>
      <x:c r="X123" s="12" t="str">
        <x:v>https://github.com/algobulls/pyalgostrategypool/tree/master/pyalgostrategypool/strategy_options_strangle_intraday</x:v>
      </x:c>
      <x:c r="Y123" s="12" t="str">
        <x:v>2026-10-07</x:v>
      </x:c>
      <x:c r="Z123" s="12" t="str">
        <x:v>Exact repository implementation and parameter defaults must be inspected before executable MQD registration.</x:v>
      </x:c>
    </x:row>
    <x:row r="124" ht="48" customHeight="1">
      <x:c r="A124" s="12" t="str">
        <x:v>EXT-123</x:v>
      </x:c>
      <x:c r="B124" s="12" t="str">
        <x:v>Pocket Pivot With EMA Buy Only Intraday</x:v>
      </x:c>
      <x:c r="C124" s="12" t="str">
        <x:v>Momentum / Pocket Pivot</x:v>
      </x:c>
      <x:c r="D124" s="12" t="str">
        <x:v>AlgoBulls pyalgostrategypool (GitHub)</x:v>
      </x:c>
      <x:c r="E124" s="12" t="str">
        <x:v>Open-source code</x:v>
      </x:c>
      <x:c r="F124" s="12" t="str">
        <x:v>Repository implementation; summary normalized from name/excerpts</x:v>
      </x:c>
      <x:c r="G124" s="14" t="n">
        <x:v>0.84</x:v>
      </x:c>
      <x:c r="H124" s="12" t="str">
        <x:v>Equities</x:v>
      </x:c>
      <x:c r="I124" s="12" t="str">
        <x:v>Liquid OHLCV instruments</x:v>
      </x:c>
      <x:c r="J124" s="12" t="str">
        <x:v>Long only source</x:v>
      </x:c>
      <x:c r="K124" s="12" t="str">
        <x:v>Yes</x:v>
      </x:c>
      <x:c r="L124" s="12" t="str">
        <x:v>Derived mirror</x:v>
      </x:c>
      <x:c r="M124" s="12" t="str">
        <x:v>Intraday</x:v>
      </x:c>
      <x:c r="N124" s="12" t="str">
        <x:v>Intraday</x:v>
      </x:c>
      <x:c r="O124" s="12" t="str">
        <x:v>Long on pocket-pivot volume/price setup with EMA filter.</x:v>
      </x:c>
      <x:c r="P124" s="12" t="str">
        <x:v>Derived bearish pocket-pivot mirror for separate test only.</x:v>
      </x:c>
      <x:c r="Q124" s="12" t="str">
        <x:v>Repository-defined.</x:v>
      </x:c>
      <x:c r="R124" s="12" t="str">
        <x:v>Pivot/volume/EMA settings</x:v>
      </x:c>
      <x:c r="S124" s="12" t="str">
        <x:v>OHLCV</x:v>
      </x:c>
      <x:c r="T124" s="12" t="str">
        <x:v>Inspect exact code before implementation; reproduce signal on independent data.</x:v>
      </x:c>
      <x:c r="U124" s="12" t="str">
        <x:v>Repository defaults may be framework-specific; source is not evidence of edge.</x:v>
      </x:c>
      <x:c r="V124" s="12" t="str">
        <x:v>Medium</x:v>
      </x:c>
      <x:c r="W124" s="12" t="str">
        <x:v>B</x:v>
      </x:c>
      <x:c r="X124" s="12" t="str">
        <x:v>https://github.com/algobulls/pyalgostrategypool/tree/master/pyalgostrategypool/strategy_pocket_pivot_with_ema_buy_only_Intraday</x:v>
      </x:c>
      <x:c r="Y124" s="12" t="str">
        <x:v>2026-10-07</x:v>
      </x:c>
      <x:c r="Z124" s="12" t="str">
        <x:v>Exact repository implementation and parameter defaults must be inspected before executable MQD registration.</x:v>
      </x:c>
    </x:row>
    <x:row r="125" ht="48" customHeight="1">
      <x:c r="A125" s="12" t="str">
        <x:v>EXT-124</x:v>
      </x:c>
      <x:c r="B125" s="12" t="str">
        <x:v>Reverse RSI Crossover Delivery</x:v>
      </x:c>
      <x:c r="C125" s="12" t="str">
        <x:v>Contrarian / RSI</x:v>
      </x:c>
      <x:c r="D125" s="12" t="str">
        <x:v>AlgoBulls pyalgostrategypool (GitHub)</x:v>
      </x:c>
      <x:c r="E125" s="12" t="str">
        <x:v>Open-source code</x:v>
      </x:c>
      <x:c r="F125" s="12" t="str">
        <x:v>Repository implementation; summary normalized from name/excerpts</x:v>
      </x:c>
      <x:c r="G125" s="14" t="n">
        <x:v>0.84</x:v>
      </x:c>
      <x:c r="H125" s="12" t="str">
        <x:v>Equities</x:v>
      </x:c>
      <x:c r="I125" s="12" t="str">
        <x:v>Liquid OHLCV instruments</x:v>
      </x:c>
      <x:c r="J125" s="12" t="str">
        <x:v>Both</x:v>
      </x:c>
      <x:c r="K125" s="12" t="str">
        <x:v>Yes</x:v>
      </x:c>
      <x:c r="L125" s="12" t="str">
        <x:v>Yes</x:v>
      </x:c>
      <x:c r="M125" s="12" t="str">
        <x:v>Swing</x:v>
      </x:c>
      <x:c r="N125" s="12" t="str">
        <x:v>Daily/Intraday</x:v>
      </x:c>
      <x:c r="O125" s="12" t="str">
        <x:v>Reverse-RSI long condition from repository implementation.</x:v>
      </x:c>
      <x:c r="P125" s="12" t="str">
        <x:v>Reverse-RSI short mirror from repository implementation.</x:v>
      </x:c>
      <x:c r="Q125" s="12" t="str">
        <x:v>Repository-defined reverse signal.</x:v>
      </x:c>
      <x:c r="R125" s="12" t="str">
        <x:v>RSI length/thresholds</x:v>
      </x:c>
      <x:c r="S125" s="12" t="str">
        <x:v>OHLCV</x:v>
      </x:c>
      <x:c r="T125" s="12" t="str">
        <x:v>Inspect exact code before implementation; reproduce signal on independent data.</x:v>
      </x:c>
      <x:c r="U125" s="12" t="str">
        <x:v>Repository defaults may be framework-specific; source is not evidence of edge.</x:v>
      </x:c>
      <x:c r="V125" s="12" t="str">
        <x:v>Low</x:v>
      </x:c>
      <x:c r="W125" s="12" t="str">
        <x:v>C</x:v>
      </x:c>
      <x:c r="X125" s="12" t="str">
        <x:v>https://github.com/algobulls/pyalgostrategypool/tree/master/pyalgostrategypool/strategy_reverse_rsi_crossover_delivery</x:v>
      </x:c>
      <x:c r="Y125" s="12" t="str">
        <x:v>2026-10-07</x:v>
      </x:c>
      <x:c r="Z125" s="12" t="str">
        <x:v>Exact repository implementation and parameter defaults must be inspected before executable MQD registration.</x:v>
      </x:c>
    </x:row>
    <x:row r="126" ht="48" customHeight="1">
      <x:c r="A126" s="12" t="str">
        <x:v>EXT-125</x:v>
      </x:c>
      <x:c r="B126" s="12" t="str">
        <x:v>Reverse RSI Crossover Intraday</x:v>
      </x:c>
      <x:c r="C126" s="12" t="str">
        <x:v>Contrarian / RSI</x:v>
      </x:c>
      <x:c r="D126" s="12" t="str">
        <x:v>AlgoBulls pyalgostrategypool (GitHub)</x:v>
      </x:c>
      <x:c r="E126" s="12" t="str">
        <x:v>Open-source code</x:v>
      </x:c>
      <x:c r="F126" s="12" t="str">
        <x:v>Repository implementation; summary normalized from name/excerpts</x:v>
      </x:c>
      <x:c r="G126" s="14" t="n">
        <x:v>0.84</x:v>
      </x:c>
      <x:c r="H126" s="12" t="str">
        <x:v>Equities</x:v>
      </x:c>
      <x:c r="I126" s="12" t="str">
        <x:v>Liquid OHLCV instruments</x:v>
      </x:c>
      <x:c r="J126" s="12" t="str">
        <x:v>Both</x:v>
      </x:c>
      <x:c r="K126" s="12" t="str">
        <x:v>Yes</x:v>
      </x:c>
      <x:c r="L126" s="12" t="str">
        <x:v>Yes</x:v>
      </x:c>
      <x:c r="M126" s="12" t="str">
        <x:v>Intraday</x:v>
      </x:c>
      <x:c r="N126" s="12" t="str">
        <x:v>Intraday</x:v>
      </x:c>
      <x:c r="O126" s="12" t="str">
        <x:v>Reverse-RSI long condition from repository implementation.</x:v>
      </x:c>
      <x:c r="P126" s="12" t="str">
        <x:v>Reverse-RSI short mirror from repository implementation.</x:v>
      </x:c>
      <x:c r="Q126" s="12" t="str">
        <x:v>Repository-defined reverse signal.</x:v>
      </x:c>
      <x:c r="R126" s="12" t="str">
        <x:v>RSI length/thresholds</x:v>
      </x:c>
      <x:c r="S126" s="12" t="str">
        <x:v>OHLCV</x:v>
      </x:c>
      <x:c r="T126" s="12" t="str">
        <x:v>Inspect exact code before implementation; reproduce signal on independent data.</x:v>
      </x:c>
      <x:c r="U126" s="12" t="str">
        <x:v>Repository defaults may be framework-specific; source is not evidence of edge.</x:v>
      </x:c>
      <x:c r="V126" s="12" t="str">
        <x:v>Low</x:v>
      </x:c>
      <x:c r="W126" s="12" t="str">
        <x:v>C</x:v>
      </x:c>
      <x:c r="X126" s="12" t="str">
        <x:v>https://github.com/algobulls/pyalgostrategypool/tree/master/pyalgostrategypool/strategy_reverse_rsi_crossover_intraday</x:v>
      </x:c>
      <x:c r="Y126" s="12" t="str">
        <x:v>2026-10-07</x:v>
      </x:c>
      <x:c r="Z126" s="12" t="str">
        <x:v>Exact repository implementation and parameter defaults must be inspected before executable MQD registration.</x:v>
      </x:c>
    </x:row>
    <x:row r="127" ht="48" customHeight="1">
      <x:c r="A127" s="12" t="str">
        <x:v>EXT-126</x:v>
      </x:c>
      <x:c r="B127" s="12" t="str">
        <x:v>RSI MACD Crossover Delivery</x:v>
      </x:c>
      <x:c r="C127" s="12" t="str">
        <x:v>Hybrid / RSI+MACD</x:v>
      </x:c>
      <x:c r="D127" s="12" t="str">
        <x:v>AlgoBulls pyalgostrategypool (GitHub)</x:v>
      </x:c>
      <x:c r="E127" s="12" t="str">
        <x:v>Open-source code</x:v>
      </x:c>
      <x:c r="F127" s="12" t="str">
        <x:v>Repository implementation; summary normalized from name/excerpts</x:v>
      </x:c>
      <x:c r="G127" s="14" t="n">
        <x:v>0.84</x:v>
      </x:c>
      <x:c r="H127" s="12" t="str">
        <x:v>Equities</x:v>
      </x:c>
      <x:c r="I127" s="12" t="str">
        <x:v>Liquid OHLCV instruments</x:v>
      </x:c>
      <x:c r="J127" s="12" t="str">
        <x:v>Both</x:v>
      </x:c>
      <x:c r="K127" s="12" t="str">
        <x:v>Yes</x:v>
      </x:c>
      <x:c r="L127" s="12" t="str">
        <x:v>Yes</x:v>
      </x:c>
      <x:c r="M127" s="12" t="str">
        <x:v>Swing</x:v>
      </x:c>
      <x:c r="N127" s="12" t="str">
        <x:v>Daily/Intraday</x:v>
      </x:c>
      <x:c r="O127" s="12" t="str">
        <x:v>Long when bullish MACD crossover aligns with RSI recovery from oversold.</x:v>
      </x:c>
      <x:c r="P127" s="12" t="str">
        <x:v>Short when bearish MACD crossover aligns with RSI rollover from overbought.</x:v>
      </x:c>
      <x:c r="Q127" s="12" t="str">
        <x:v>Reverse signal / source-specific risk rule.</x:v>
      </x:c>
      <x:c r="R127" s="12" t="str">
        <x:v>RSI thresholds; MACD settings</x:v>
      </x:c>
      <x:c r="S127" s="12" t="str">
        <x:v>OHLCV</x:v>
      </x:c>
      <x:c r="T127" s="12" t="str">
        <x:v>Inspect exact code before implementation; reproduce signal on independent data.</x:v>
      </x:c>
      <x:c r="U127" s="12" t="str">
        <x:v>Repository defaults may be framework-specific; source is not evidence of edge.</x:v>
      </x:c>
      <x:c r="V127" s="12" t="str">
        <x:v>High</x:v>
      </x:c>
      <x:c r="W127" s="12" t="str">
        <x:v>A</x:v>
      </x:c>
      <x:c r="X127" s="12" t="str">
        <x:v>https://github.com/algobulls/pyalgostrategypool/tree/master/pyalgostrategypool/strategy_rsi_macd_crossover_delivery</x:v>
      </x:c>
      <x:c r="Y127" s="12" t="str">
        <x:v>2026-10-07</x:v>
      </x:c>
      <x:c r="Z127" s="12" t="str">
        <x:v>Exact repository implementation and parameter defaults must be inspected before executable MQD registration.</x:v>
      </x:c>
    </x:row>
    <x:row r="128" ht="48" customHeight="1">
      <x:c r="A128" s="12" t="str">
        <x:v>EXT-127</x:v>
      </x:c>
      <x:c r="B128" s="12" t="str">
        <x:v>RSI MACD Crossover Intraday</x:v>
      </x:c>
      <x:c r="C128" s="12" t="str">
        <x:v>Hybrid / RSI+MACD</x:v>
      </x:c>
      <x:c r="D128" s="12" t="str">
        <x:v>AlgoBulls pyalgostrategypool (GitHub)</x:v>
      </x:c>
      <x:c r="E128" s="12" t="str">
        <x:v>Open-source code</x:v>
      </x:c>
      <x:c r="F128" s="12" t="str">
        <x:v>Repository implementation; summary normalized from name/excerpts</x:v>
      </x:c>
      <x:c r="G128" s="14" t="n">
        <x:v>0.84</x:v>
      </x:c>
      <x:c r="H128" s="12" t="str">
        <x:v>Equities</x:v>
      </x:c>
      <x:c r="I128" s="12" t="str">
        <x:v>Liquid OHLCV instruments</x:v>
      </x:c>
      <x:c r="J128" s="12" t="str">
        <x:v>Both</x:v>
      </x:c>
      <x:c r="K128" s="12" t="str">
        <x:v>Yes</x:v>
      </x:c>
      <x:c r="L128" s="12" t="str">
        <x:v>Yes</x:v>
      </x:c>
      <x:c r="M128" s="12" t="str">
        <x:v>Intraday</x:v>
      </x:c>
      <x:c r="N128" s="12" t="str">
        <x:v>Intraday</x:v>
      </x:c>
      <x:c r="O128" s="12" t="str">
        <x:v>Long when bullish MACD crossover aligns with RSI recovery from oversold.</x:v>
      </x:c>
      <x:c r="P128" s="12" t="str">
        <x:v>Short when bearish MACD crossover aligns with RSI rollover from overbought.</x:v>
      </x:c>
      <x:c r="Q128" s="12" t="str">
        <x:v>Reverse signal / source-specific risk rule.</x:v>
      </x:c>
      <x:c r="R128" s="12" t="str">
        <x:v>RSI thresholds; MACD settings</x:v>
      </x:c>
      <x:c r="S128" s="12" t="str">
        <x:v>OHLCV</x:v>
      </x:c>
      <x:c r="T128" s="12" t="str">
        <x:v>Inspect exact code before implementation; reproduce signal on independent data.</x:v>
      </x:c>
      <x:c r="U128" s="12" t="str">
        <x:v>Repository defaults may be framework-specific; source is not evidence of edge.</x:v>
      </x:c>
      <x:c r="V128" s="12" t="str">
        <x:v>High</x:v>
      </x:c>
      <x:c r="W128" s="12" t="str">
        <x:v>A</x:v>
      </x:c>
      <x:c r="X128" s="12" t="str">
        <x:v>https://github.com/algobulls/pyalgostrategypool/tree/master/pyalgostrategypool/strategy_rsi_macd_crossover_intraday</x:v>
      </x:c>
      <x:c r="Y128" s="12" t="str">
        <x:v>2026-10-07</x:v>
      </x:c>
      <x:c r="Z128" s="12" t="str">
        <x:v>Exact repository implementation and parameter defaults must be inspected before executable MQD registration.</x:v>
      </x:c>
    </x:row>
    <x:row r="129" ht="48" customHeight="1">
      <x:c r="A129" s="12" t="str">
        <x:v>EXT-128</x:v>
      </x:c>
      <x:c r="B129" s="12" t="str">
        <x:v>Stochastic Crossover Delivery</x:v>
      </x:c>
      <x:c r="C129" s="12" t="str">
        <x:v>Oscillator / Stochastic</x:v>
      </x:c>
      <x:c r="D129" s="12" t="str">
        <x:v>AlgoBulls pyalgostrategypool (GitHub)</x:v>
      </x:c>
      <x:c r="E129" s="12" t="str">
        <x:v>Open-source code</x:v>
      </x:c>
      <x:c r="F129" s="12" t="str">
        <x:v>Repository implementation; summary normalized from name/excerpts</x:v>
      </x:c>
      <x:c r="G129" s="14" t="n">
        <x:v>0.84</x:v>
      </x:c>
      <x:c r="H129" s="12" t="str">
        <x:v>Equities</x:v>
      </x:c>
      <x:c r="I129" s="12" t="str">
        <x:v>Liquid OHLCV instruments</x:v>
      </x:c>
      <x:c r="J129" s="12" t="str">
        <x:v>Both</x:v>
      </x:c>
      <x:c r="K129" s="12" t="str">
        <x:v>Yes</x:v>
      </x:c>
      <x:c r="L129" s="12" t="str">
        <x:v>Yes</x:v>
      </x:c>
      <x:c r="M129" s="12" t="str">
        <x:v>Swing</x:v>
      </x:c>
      <x:c r="N129" s="12" t="str">
        <x:v>Daily/Intraday</x:v>
      </x:c>
      <x:c r="O129" s="12" t="str">
        <x:v>Long when fast stochastic crosses above slow line.</x:v>
      </x:c>
      <x:c r="P129" s="12" t="str">
        <x:v>Short when fast stochastic crosses below slow line.</x:v>
      </x:c>
      <x:c r="Q129" s="12" t="str">
        <x:v>Reverse crossover.</x:v>
      </x:c>
      <x:c r="R129" s="12" t="str">
        <x:v>%K/%D lengths</x:v>
      </x:c>
      <x:c r="S129" s="12" t="str">
        <x:v>OHLCV</x:v>
      </x:c>
      <x:c r="T129" s="12" t="str">
        <x:v>Inspect exact code before implementation; reproduce signal on independent data.</x:v>
      </x:c>
      <x:c r="U129" s="12" t="str">
        <x:v>Repository defaults may be framework-specific; source is not evidence of edge.</x:v>
      </x:c>
      <x:c r="V129" s="12" t="str">
        <x:v>High</x:v>
      </x:c>
      <x:c r="W129" s="12" t="str">
        <x:v>A</x:v>
      </x:c>
      <x:c r="X129" s="12" t="str">
        <x:v>https://github.com/algobulls/pyalgostrategypool/tree/master/pyalgostrategypool/strategy_stochastic_crossover_delivery</x:v>
      </x:c>
      <x:c r="Y129" s="12" t="str">
        <x:v>2026-10-07</x:v>
      </x:c>
      <x:c r="Z129" s="12" t="str">
        <x:v>Exact repository implementation and parameter defaults must be inspected before executable MQD registration.</x:v>
      </x:c>
    </x:row>
    <x:row r="130" ht="48" customHeight="1">
      <x:c r="A130" s="12" t="str">
        <x:v>EXT-129</x:v>
      </x:c>
      <x:c r="B130" s="12" t="str">
        <x:v>Stochastic Crossover Intraday</x:v>
      </x:c>
      <x:c r="C130" s="12" t="str">
        <x:v>Oscillator / Stochastic</x:v>
      </x:c>
      <x:c r="D130" s="12" t="str">
        <x:v>AlgoBulls pyalgostrategypool (GitHub)</x:v>
      </x:c>
      <x:c r="E130" s="12" t="str">
        <x:v>Open-source code</x:v>
      </x:c>
      <x:c r="F130" s="12" t="str">
        <x:v>Repository implementation; summary normalized from name/excerpts</x:v>
      </x:c>
      <x:c r="G130" s="14" t="n">
        <x:v>0.84</x:v>
      </x:c>
      <x:c r="H130" s="12" t="str">
        <x:v>Equities</x:v>
      </x:c>
      <x:c r="I130" s="12" t="str">
        <x:v>Liquid OHLCV instruments</x:v>
      </x:c>
      <x:c r="J130" s="12" t="str">
        <x:v>Both</x:v>
      </x:c>
      <x:c r="K130" s="12" t="str">
        <x:v>Yes</x:v>
      </x:c>
      <x:c r="L130" s="12" t="str">
        <x:v>Yes</x:v>
      </x:c>
      <x:c r="M130" s="12" t="str">
        <x:v>Intraday</x:v>
      </x:c>
      <x:c r="N130" s="12" t="str">
        <x:v>Intraday</x:v>
      </x:c>
      <x:c r="O130" s="12" t="str">
        <x:v>Long when fast stochastic crosses above slow line.</x:v>
      </x:c>
      <x:c r="P130" s="12" t="str">
        <x:v>Short when fast stochastic crosses below slow line.</x:v>
      </x:c>
      <x:c r="Q130" s="12" t="str">
        <x:v>Reverse crossover.</x:v>
      </x:c>
      <x:c r="R130" s="12" t="str">
        <x:v>%K/%D lengths</x:v>
      </x:c>
      <x:c r="S130" s="12" t="str">
        <x:v>OHLCV</x:v>
      </x:c>
      <x:c r="T130" s="12" t="str">
        <x:v>Inspect exact code before implementation; reproduce signal on independent data.</x:v>
      </x:c>
      <x:c r="U130" s="12" t="str">
        <x:v>Repository defaults may be framework-specific; source is not evidence of edge.</x:v>
      </x:c>
      <x:c r="V130" s="12" t="str">
        <x:v>High</x:v>
      </x:c>
      <x:c r="W130" s="12" t="str">
        <x:v>A</x:v>
      </x:c>
      <x:c r="X130" s="12" t="str">
        <x:v>https://github.com/algobulls/pyalgostrategypool/tree/master/pyalgostrategypool/strategy_stochastic_crossover_intraday</x:v>
      </x:c>
      <x:c r="Y130" s="12" t="str">
        <x:v>2026-10-07</x:v>
      </x:c>
      <x:c r="Z130" s="12" t="str">
        <x:v>Exact repository implementation and parameter defaults must be inspected before executable MQD registration.</x:v>
      </x:c>
    </x:row>
    <x:row r="131" ht="48" customHeight="1">
      <x:c r="A131" s="12" t="str">
        <x:v>EXT-130</x:v>
      </x:c>
      <x:c r="B131" s="12" t="str">
        <x:v>Three Line Break MACD Trend Intraday</x:v>
      </x:c>
      <x:c r="C131" s="12" t="str">
        <x:v>Trend / Three-Line-Break+MACD</x:v>
      </x:c>
      <x:c r="D131" s="12" t="str">
        <x:v>AlgoBulls pyalgostrategypool (GitHub)</x:v>
      </x:c>
      <x:c r="E131" s="12" t="str">
        <x:v>Open-source code</x:v>
      </x:c>
      <x:c r="F131" s="12" t="str">
        <x:v>Repository implementation; summary normalized from name/excerpts</x:v>
      </x:c>
      <x:c r="G131" s="14" t="n">
        <x:v>0.84</x:v>
      </x:c>
      <x:c r="H131" s="12" t="str">
        <x:v>Equities</x:v>
      </x:c>
      <x:c r="I131" s="12" t="str">
        <x:v>Liquid OHLCV instruments</x:v>
      </x:c>
      <x:c r="J131" s="12" t="str">
        <x:v>Both</x:v>
      </x:c>
      <x:c r="K131" s="12" t="str">
        <x:v>Yes</x:v>
      </x:c>
      <x:c r="L131" s="12" t="str">
        <x:v>Yes</x:v>
      </x:c>
      <x:c r="M131" s="12" t="str">
        <x:v>Intraday</x:v>
      </x:c>
      <x:c r="N131" s="12" t="str">
        <x:v>Intraday</x:v>
      </x:c>
      <x:c r="O131" s="12" t="str">
        <x:v>Long when three-line-break trend and MACD are bullish.</x:v>
      </x:c>
      <x:c r="P131" s="12" t="str">
        <x:v>Short when both are bearish.</x:v>
      </x:c>
      <x:c r="Q131" s="12" t="str">
        <x:v>Trend/MACD reversal.</x:v>
      </x:c>
      <x:c r="R131" s="12" t="str">
        <x:v>Line-break construction; MACD settings</x:v>
      </x:c>
      <x:c r="S131" s="12" t="str">
        <x:v>OHLCV</x:v>
      </x:c>
      <x:c r="T131" s="12" t="str">
        <x:v>Inspect exact code before implementation; reproduce signal on independent data.</x:v>
      </x:c>
      <x:c r="U131" s="12" t="str">
        <x:v>Repository defaults may be framework-specific; source is not evidence of edge.</x:v>
      </x:c>
      <x:c r="V131" s="12" t="str">
        <x:v>Medium</x:v>
      </x:c>
      <x:c r="W131" s="12" t="str">
        <x:v>B</x:v>
      </x:c>
      <x:c r="X131" s="12" t="str">
        <x:v>https://github.com/algobulls/pyalgostrategypool/tree/master/pyalgostrategypool/strategy_three_line_break_macd_trend_intraday</x:v>
      </x:c>
      <x:c r="Y131" s="12" t="str">
        <x:v>2026-10-07</x:v>
      </x:c>
      <x:c r="Z131" s="12" t="str">
        <x:v>Exact repository implementation and parameter defaults must be inspected before executable MQD registration.</x:v>
      </x:c>
    </x:row>
    <x:row r="132" ht="48" customHeight="1">
      <x:c r="A132" s="12" t="str">
        <x:v>EXT-131</x:v>
      </x:c>
      <x:c r="B132" s="12" t="str">
        <x:v>Volatility Trend ATR Delivery</x:v>
      </x:c>
      <x:c r="C132" s="12" t="str">
        <x:v>Volatility / ATR Trend</x:v>
      </x:c>
      <x:c r="D132" s="12" t="str">
        <x:v>AlgoBulls pyalgostrategypool (GitHub)</x:v>
      </x:c>
      <x:c r="E132" s="12" t="str">
        <x:v>Open-source code</x:v>
      </x:c>
      <x:c r="F132" s="12" t="str">
        <x:v>Repository implementation; summary normalized from name/excerpts</x:v>
      </x:c>
      <x:c r="G132" s="14" t="n">
        <x:v>0.84</x:v>
      </x:c>
      <x:c r="H132" s="12" t="str">
        <x:v>Equities</x:v>
      </x:c>
      <x:c r="I132" s="12" t="str">
        <x:v>Liquid OHLCV instruments</x:v>
      </x:c>
      <x:c r="J132" s="12" t="str">
        <x:v>Both</x:v>
      </x:c>
      <x:c r="K132" s="12" t="str">
        <x:v>Yes</x:v>
      </x:c>
      <x:c r="L132" s="12" t="str">
        <x:v>Yes</x:v>
      </x:c>
      <x:c r="M132" s="12" t="str">
        <x:v>Swing</x:v>
      </x:c>
      <x:c r="N132" s="12" t="str">
        <x:v>Daily/Intraday</x:v>
      </x:c>
      <x:c r="O132" s="12" t="str">
        <x:v>Long when volatility expansion and trend direction are bullish.</x:v>
      </x:c>
      <x:c r="P132" s="12" t="str">
        <x:v>Short on bearish volatility-expansion trend.</x:v>
      </x:c>
      <x:c r="Q132" s="12" t="str">
        <x:v>Trend reversal / volatility contraction per source.</x:v>
      </x:c>
      <x:c r="R132" s="12" t="str">
        <x:v>ATR window; comparison window; trend rule</x:v>
      </x:c>
      <x:c r="S132" s="12" t="str">
        <x:v>OHLCV</x:v>
      </x:c>
      <x:c r="T132" s="12" t="str">
        <x:v>Inspect exact code before implementation; reproduce signal on independent data.</x:v>
      </x:c>
      <x:c r="U132" s="12" t="str">
        <x:v>Repository defaults may be framework-specific; source is not evidence of edge.</x:v>
      </x:c>
      <x:c r="V132" s="12" t="str">
        <x:v>Medium</x:v>
      </x:c>
      <x:c r="W132" s="12" t="str">
        <x:v>B</x:v>
      </x:c>
      <x:c r="X132" s="12" t="str">
        <x:v>https://github.com/algobulls/pyalgostrategypool/tree/master/pyalgostrategypool/strategy_volatility_trend_atr_delivery</x:v>
      </x:c>
      <x:c r="Y132" s="12" t="str">
        <x:v>2026-10-07</x:v>
      </x:c>
      <x:c r="Z132" s="12" t="str">
        <x:v>Exact repository implementation and parameter defaults must be inspected before executable MQD registration.</x:v>
      </x:c>
    </x:row>
    <x:row r="133" ht="48" customHeight="1">
      <x:c r="A133" s="12" t="str">
        <x:v>EXT-132</x:v>
      </x:c>
      <x:c r="B133" s="12" t="str">
        <x:v>Volatility Trend ATR Intraday</x:v>
      </x:c>
      <x:c r="C133" s="12" t="str">
        <x:v>Volatility / ATR Trend</x:v>
      </x:c>
      <x:c r="D133" s="12" t="str">
        <x:v>AlgoBulls pyalgostrategypool (GitHub)</x:v>
      </x:c>
      <x:c r="E133" s="12" t="str">
        <x:v>Open-source code</x:v>
      </x:c>
      <x:c r="F133" s="12" t="str">
        <x:v>Repository implementation; summary normalized from name/excerpts</x:v>
      </x:c>
      <x:c r="G133" s="14" t="n">
        <x:v>0.84</x:v>
      </x:c>
      <x:c r="H133" s="12" t="str">
        <x:v>Equities</x:v>
      </x:c>
      <x:c r="I133" s="12" t="str">
        <x:v>Liquid OHLCV instruments</x:v>
      </x:c>
      <x:c r="J133" s="12" t="str">
        <x:v>Both</x:v>
      </x:c>
      <x:c r="K133" s="12" t="str">
        <x:v>Yes</x:v>
      </x:c>
      <x:c r="L133" s="12" t="str">
        <x:v>Yes</x:v>
      </x:c>
      <x:c r="M133" s="12" t="str">
        <x:v>Intraday</x:v>
      </x:c>
      <x:c r="N133" s="12" t="str">
        <x:v>Intraday</x:v>
      </x:c>
      <x:c r="O133" s="12" t="str">
        <x:v>Long when volatility expansion and trend direction are bullish.</x:v>
      </x:c>
      <x:c r="P133" s="12" t="str">
        <x:v>Short on bearish volatility-expansion trend.</x:v>
      </x:c>
      <x:c r="Q133" s="12" t="str">
        <x:v>Trend reversal / volatility contraction per source.</x:v>
      </x:c>
      <x:c r="R133" s="12" t="str">
        <x:v>ATR window; comparison window; trend rule</x:v>
      </x:c>
      <x:c r="S133" s="12" t="str">
        <x:v>OHLCV</x:v>
      </x:c>
      <x:c r="T133" s="12" t="str">
        <x:v>Inspect exact code before implementation; reproduce signal on independent data.</x:v>
      </x:c>
      <x:c r="U133" s="12" t="str">
        <x:v>Repository defaults may be framework-specific; source is not evidence of edge.</x:v>
      </x:c>
      <x:c r="V133" s="12" t="str">
        <x:v>Medium</x:v>
      </x:c>
      <x:c r="W133" s="12" t="str">
        <x:v>B</x:v>
      </x:c>
      <x:c r="X133" s="12" t="str">
        <x:v>https://github.com/algobulls/pyalgostrategypool/tree/master/pyalgostrategypool/strategy_volatility_trend_atr_intraday</x:v>
      </x:c>
      <x:c r="Y133" s="12" t="str">
        <x:v>2026-10-07</x:v>
      </x:c>
      <x:c r="Z133" s="12" t="str">
        <x:v>Exact repository implementation and parameter defaults must be inspected before executable MQD registration.</x:v>
      </x:c>
    </x:row>
    <x:row r="134" ht="48" customHeight="1">
      <x:c r="A134" s="12" t="str">
        <x:v>EXT-133</x:v>
      </x:c>
      <x:c r="B134" s="12" t="str">
        <x:v>Vortex Trend With EMA ADX Intraday</x:v>
      </x:c>
      <x:c r="C134" s="12" t="str">
        <x:v>Trend / Vortex+EMA+ADX</x:v>
      </x:c>
      <x:c r="D134" s="12" t="str">
        <x:v>AlgoBulls pyalgostrategypool (GitHub)</x:v>
      </x:c>
      <x:c r="E134" s="12" t="str">
        <x:v>Open-source code</x:v>
      </x:c>
      <x:c r="F134" s="12" t="str">
        <x:v>Repository implementation; summary normalized from name/excerpts</x:v>
      </x:c>
      <x:c r="G134" s="14" t="n">
        <x:v>0.84</x:v>
      </x:c>
      <x:c r="H134" s="12" t="str">
        <x:v>Equities</x:v>
      </x:c>
      <x:c r="I134" s="12" t="str">
        <x:v>Liquid OHLCV instruments</x:v>
      </x:c>
      <x:c r="J134" s="12" t="str">
        <x:v>Both</x:v>
      </x:c>
      <x:c r="K134" s="12" t="str">
        <x:v>Yes</x:v>
      </x:c>
      <x:c r="L134" s="12" t="str">
        <x:v>Yes</x:v>
      </x:c>
      <x:c r="M134" s="12" t="str">
        <x:v>Intraday</x:v>
      </x:c>
      <x:c r="N134" s="12" t="str">
        <x:v>Intraday</x:v>
      </x:c>
      <x:c r="O134" s="12" t="str">
        <x:v>Long when Vortex bullish, EMA trend bullish, ADX confirms strength.</x:v>
      </x:c>
      <x:c r="P134" s="12" t="str">
        <x:v>Short on bearish mirror.</x:v>
      </x:c>
      <x:c r="Q134" s="12" t="str">
        <x:v>Signal reversal.</x:v>
      </x:c>
      <x:c r="R134" s="12" t="str">
        <x:v>Vortex; EMA; ADX</x:v>
      </x:c>
      <x:c r="S134" s="12" t="str">
        <x:v>OHLCV</x:v>
      </x:c>
      <x:c r="T134" s="12" t="str">
        <x:v>Inspect exact code before implementation; reproduce signal on independent data.</x:v>
      </x:c>
      <x:c r="U134" s="12" t="str">
        <x:v>Repository defaults may be framework-specific; source is not evidence of edge.</x:v>
      </x:c>
      <x:c r="V134" s="12" t="str">
        <x:v>Medium</x:v>
      </x:c>
      <x:c r="W134" s="12" t="str">
        <x:v>B</x:v>
      </x:c>
      <x:c r="X134" s="12" t="str">
        <x:v>https://github.com/algobulls/pyalgostrategypool/tree/master/pyalgostrategypool/strategy_vortex_trend_with_ema_adx_intraday</x:v>
      </x:c>
      <x:c r="Y134" s="12" t="str">
        <x:v>2026-10-07</x:v>
      </x:c>
      <x:c r="Z134" s="12" t="str">
        <x:v>Exact repository implementation and parameter defaults must be inspected before executable MQD registration.</x:v>
      </x:c>
    </x:row>
    <x:row r="135" ht="48" customHeight="1">
      <x:c r="A135" s="12" t="str">
        <x:v>EXT-134</x:v>
      </x:c>
      <x:c r="B135" s="12" t="str">
        <x:v>VWAP Crossover Delivery</x:v>
      </x:c>
      <x:c r="C135" s="12" t="str">
        <x:v>Trend / VWAP</x:v>
      </x:c>
      <x:c r="D135" s="12" t="str">
        <x:v>AlgoBulls pyalgostrategypool (GitHub)</x:v>
      </x:c>
      <x:c r="E135" s="12" t="str">
        <x:v>Open-source code</x:v>
      </x:c>
      <x:c r="F135" s="12" t="str">
        <x:v>Repository implementation; summary normalized from name/excerpts</x:v>
      </x:c>
      <x:c r="G135" s="14" t="n">
        <x:v>0.84</x:v>
      </x:c>
      <x:c r="H135" s="12" t="str">
        <x:v>Equities</x:v>
      </x:c>
      <x:c r="I135" s="12" t="str">
        <x:v>Liquid OHLCV instruments</x:v>
      </x:c>
      <x:c r="J135" s="12" t="str">
        <x:v>Both</x:v>
      </x:c>
      <x:c r="K135" s="12" t="str">
        <x:v>Yes</x:v>
      </x:c>
      <x:c r="L135" s="12" t="str">
        <x:v>Yes</x:v>
      </x:c>
      <x:c r="M135" s="12" t="str">
        <x:v>Swing</x:v>
      </x:c>
      <x:c r="N135" s="12" t="str">
        <x:v>Daily/Intraday</x:v>
      </x:c>
      <x:c r="O135" s="12" t="str">
        <x:v>Long when price crosses above VWAP.</x:v>
      </x:c>
      <x:c r="P135" s="12" t="str">
        <x:v>Short when price crosses below VWAP.</x:v>
      </x:c>
      <x:c r="Q135" s="12" t="str">
        <x:v>Reverse crossover.</x:v>
      </x:c>
      <x:c r="R135" s="12" t="str">
        <x:v>VWAP session/anchor</x:v>
      </x:c>
      <x:c r="S135" s="12" t="str">
        <x:v>OHLCV</x:v>
      </x:c>
      <x:c r="T135" s="12" t="str">
        <x:v>Inspect exact code before implementation; reproduce signal on independent data.</x:v>
      </x:c>
      <x:c r="U135" s="12" t="str">
        <x:v>Repository defaults may be framework-specific; source is not evidence of edge.</x:v>
      </x:c>
      <x:c r="V135" s="12" t="str">
        <x:v>High</x:v>
      </x:c>
      <x:c r="W135" s="12" t="str">
        <x:v>A</x:v>
      </x:c>
      <x:c r="X135" s="12" t="str">
        <x:v>https://github.com/algobulls/pyalgostrategypool/tree/master/pyalgostrategypool/strategy_vwap_crossover_delivery</x:v>
      </x:c>
      <x:c r="Y135" s="12" t="str">
        <x:v>2026-10-07</x:v>
      </x:c>
      <x:c r="Z135" s="12" t="str">
        <x:v>Exact repository implementation and parameter defaults must be inspected before executable MQD registration.</x:v>
      </x:c>
    </x:row>
    <x:row r="136" ht="48" customHeight="1">
      <x:c r="A136" s="12" t="str">
        <x:v>EXT-135</x:v>
      </x:c>
      <x:c r="B136" s="12" t="str">
        <x:v>VWAP Crossover Intraday</x:v>
      </x:c>
      <x:c r="C136" s="12" t="str">
        <x:v>Trend / VWAP</x:v>
      </x:c>
      <x:c r="D136" s="12" t="str">
        <x:v>AlgoBulls pyalgostrategypool (GitHub)</x:v>
      </x:c>
      <x:c r="E136" s="12" t="str">
        <x:v>Open-source code</x:v>
      </x:c>
      <x:c r="F136" s="12" t="str">
        <x:v>Repository implementation; summary normalized from name/excerpts</x:v>
      </x:c>
      <x:c r="G136" s="14" t="n">
        <x:v>0.84</x:v>
      </x:c>
      <x:c r="H136" s="12" t="str">
        <x:v>Equities</x:v>
      </x:c>
      <x:c r="I136" s="12" t="str">
        <x:v>Liquid OHLCV instruments</x:v>
      </x:c>
      <x:c r="J136" s="12" t="str">
        <x:v>Both</x:v>
      </x:c>
      <x:c r="K136" s="12" t="str">
        <x:v>Yes</x:v>
      </x:c>
      <x:c r="L136" s="12" t="str">
        <x:v>Yes</x:v>
      </x:c>
      <x:c r="M136" s="12" t="str">
        <x:v>Intraday</x:v>
      </x:c>
      <x:c r="N136" s="12" t="str">
        <x:v>Intraday</x:v>
      </x:c>
      <x:c r="O136" s="12" t="str">
        <x:v>Long when price crosses above VWAP.</x:v>
      </x:c>
      <x:c r="P136" s="12" t="str">
        <x:v>Short when price crosses below VWAP.</x:v>
      </x:c>
      <x:c r="Q136" s="12" t="str">
        <x:v>Reverse crossover.</x:v>
      </x:c>
      <x:c r="R136" s="12" t="str">
        <x:v>VWAP session/anchor</x:v>
      </x:c>
      <x:c r="S136" s="12" t="str">
        <x:v>OHLCV</x:v>
      </x:c>
      <x:c r="T136" s="12" t="str">
        <x:v>Inspect exact code before implementation; reproduce signal on independent data.</x:v>
      </x:c>
      <x:c r="U136" s="12" t="str">
        <x:v>Repository defaults may be framework-specific; source is not evidence of edge.</x:v>
      </x:c>
      <x:c r="V136" s="12" t="str">
        <x:v>High</x:v>
      </x:c>
      <x:c r="W136" s="12" t="str">
        <x:v>A</x:v>
      </x:c>
      <x:c r="X136" s="12" t="str">
        <x:v>https://github.com/algobulls/pyalgostrategypool/tree/master/pyalgostrategypool/strategy_vwap_crossover_intraday</x:v>
      </x:c>
      <x:c r="Y136" s="12" t="str">
        <x:v>2026-10-07</x:v>
      </x:c>
      <x:c r="Z136" s="12" t="str">
        <x:v>Exact repository implementation and parameter defaults must be inspected before executable MQD registration.</x:v>
      </x:c>
    </x:row>
    <x:row r="137" ht="48" customHeight="1">
      <x:c r="A137" s="12" t="str">
        <x:v>EXT-136</x:v>
      </x:c>
      <x:c r="B137" s="12" t="str">
        <x:v>BB Breakout-Pullback-Momentum + Range Reversion</x:v>
      </x:c>
      <x:c r="C137" s="12" t="str">
        <x:v>Adaptive Trend/Mean Reversion</x:v>
      </x:c>
      <x:c r="D137" s="12" t="str">
        <x:v>TradingView public strategy/indicator</x:v>
      </x:c>
      <x:c r="E137" s="12" t="str">
        <x:v>Community open-source / public rules</x:v>
      </x:c>
      <x:c r="F137" s="12" t="str">
        <x:v>Public rule summary</x:v>
      </x:c>
      <x:c r="G137" s="14" t="n">
        <x:v>0.9</x:v>
      </x:c>
      <x:c r="H137" s="12" t="str">
        <x:v>Multi-Asset</x:v>
      </x:c>
      <x:c r="I137" s="12" t="str">
        <x:v>Any liquid OHLCV instrument</x:v>
      </x:c>
      <x:c r="J137" s="12" t="str">
        <x:v>Both</x:v>
      </x:c>
      <x:c r="K137" s="12" t="str">
        <x:v>Yes</x:v>
      </x:c>
      <x:c r="L137" s="12" t="str">
        <x:v>Yes</x:v>
      </x:c>
      <x:c r="M137" s="12" t="str">
        <x:v>Intraday-Swing</x:v>
      </x:c>
      <x:c r="N137" s="12" t="str">
        <x:v>Source-specific</x:v>
      </x:c>
      <x:c r="O137" s="12" t="str">
        <x:v>Trending mode: break upper BB, controlled pullback, defended zone, renewed bullish momentum with volume/MACD.</x:v>
      </x:c>
      <x:c r="P137" s="12" t="str">
        <x:v>Mirror bearish breakdown/pullback/momentum; range mode can fade upper extreme.</x:v>
      </x:c>
      <x:c r="Q137" s="12" t="str">
        <x:v>ATR/structure stop; multi-R targets; range mode exit toward mean.</x:v>
      </x:c>
      <x:c r="R137" s="12" t="str">
        <x:v>BB; ADX&gt;=~25; BB width; MACD; volume; ATR</x:v>
      </x:c>
      <x:c r="S137" s="12" t="str">
        <x:v>OHLCV; volume where required</x:v>
      </x:c>
      <x:c r="T137" s="12" t="str">
        <x:v>Reimplement logic; do not copy source code. Use completed bars and realistic fills.</x:v>
      </x:c>
      <x:c r="U137" s="12" t="str">
        <x:v>Community source; published backtests/claims are not evidence; parameter mining risk.</x:v>
      </x:c>
      <x:c r="V137" s="12" t="str">
        <x:v>High</x:v>
      </x:c>
      <x:c r="W137" s="12" t="str">
        <x:v>A</x:v>
      </x:c>
      <x:c r="X137" s="12" t="str">
        <x:v>https://www.tradingview.com/script/Syv6Sd57-BB-Breakout-Momentum-Reversion-Strategies/</x:v>
      </x:c>
      <x:c r="Y137" s="12" t="str">
        <x:v>2026-10-07</x:v>
      </x:c>
      <x:c r="Z137" s="12" t="str">
        <x:v>Test source defaults first, then any mutation as a separate candidate.</x:v>
      </x:c>
    </x:row>
    <x:row r="138" ht="48" customHeight="1">
      <x:c r="A138" s="12" t="str">
        <x:v>EXT-137</x:v>
      </x:c>
      <x:c r="B138" s="12" t="str">
        <x:v>VWAP Suite: Trend + Mean Reversion</x:v>
      </x:c>
      <x:c r="C138" s="12" t="str">
        <x:v>Adaptive VWAP</x:v>
      </x:c>
      <x:c r="D138" s="12" t="str">
        <x:v>TradingView public strategy/indicator</x:v>
      </x:c>
      <x:c r="E138" s="12" t="str">
        <x:v>Community open-source / public rules</x:v>
      </x:c>
      <x:c r="F138" s="12" t="str">
        <x:v>Public rule summary</x:v>
      </x:c>
      <x:c r="G138" s="14" t="n">
        <x:v>0.9</x:v>
      </x:c>
      <x:c r="H138" s="12" t="str">
        <x:v>Multi-Asset</x:v>
      </x:c>
      <x:c r="I138" s="12" t="str">
        <x:v>Liquid intraday stocks/ETFs/futures/crypto</x:v>
      </x:c>
      <x:c r="J138" s="12" t="str">
        <x:v>Both</x:v>
      </x:c>
      <x:c r="K138" s="12" t="str">
        <x:v>Yes</x:v>
      </x:c>
      <x:c r="L138" s="12" t="str">
        <x:v>Yes</x:v>
      </x:c>
      <x:c r="M138" s="12" t="str">
        <x:v>Intraday-Swing</x:v>
      </x:c>
      <x:c r="N138" s="12" t="str">
        <x:v>Source-specific</x:v>
      </x:c>
      <x:c r="O138" s="12" t="str">
        <x:v>Trend mode: bullish VWAP/band breakout aligned with VWAP momentum; MR mode: buy lower-band stretch in low-trend regime.</x:v>
      </x:c>
      <x:c r="P138" s="12" t="str">
        <x:v>Bearish mirror; short upper-band stretch in MR regime.</x:v>
      </x:c>
      <x:c r="Q138" s="12" t="str">
        <x:v>VWAP/band reversion or trend exit per mode.</x:v>
      </x:c>
      <x:c r="R138" s="12" t="str">
        <x:v>VWAP anchor; std bands; trend filters</x:v>
      </x:c>
      <x:c r="S138" s="12" t="str">
        <x:v>OHLCV; volume where required</x:v>
      </x:c>
      <x:c r="T138" s="12" t="str">
        <x:v>Reimplement logic; do not copy source code. Use completed bars and realistic fills.</x:v>
      </x:c>
      <x:c r="U138" s="12" t="str">
        <x:v>Community source; published backtests/claims are not evidence; parameter mining risk.</x:v>
      </x:c>
      <x:c r="V138" s="12" t="str">
        <x:v>High</x:v>
      </x:c>
      <x:c r="W138" s="12" t="str">
        <x:v>A</x:v>
      </x:c>
      <x:c r="X138" s="12" t="str">
        <x:v>https://www.tradingview.com/script/L7P3quUz-VWAP-Suite-Trend-Mean-Reversion-with-Adaptive-Filters/</x:v>
      </x:c>
      <x:c r="Y138" s="12" t="str">
        <x:v>2026-10-07</x:v>
      </x:c>
      <x:c r="Z138" s="12" t="str">
        <x:v>Test source defaults first, then any mutation as a separate candidate.</x:v>
      </x:c>
    </x:row>
    <x:row r="139" ht="48" customHeight="1">
      <x:c r="A139" s="12" t="str">
        <x:v>EXT-138</x:v>
      </x:c>
      <x:c r="B139" s="12" t="str">
        <x:v>Pivot Breakout + RSI/VWAP Filters</x:v>
      </x:c>
      <x:c r="C139" s="12" t="str">
        <x:v>Breakout</x:v>
      </x:c>
      <x:c r="D139" s="12" t="str">
        <x:v>TradingView public strategy/indicator</x:v>
      </x:c>
      <x:c r="E139" s="12" t="str">
        <x:v>Community open-source / public rules</x:v>
      </x:c>
      <x:c r="F139" s="12" t="str">
        <x:v>Public rule summary</x:v>
      </x:c>
      <x:c r="G139" s="14" t="n">
        <x:v>0.9</x:v>
      </x:c>
      <x:c r="H139" s="12" t="str">
        <x:v>Equities</x:v>
      </x:c>
      <x:c r="I139" s="12" t="str">
        <x:v>Very liquid fast markets; source optimized 1-second</x:v>
      </x:c>
      <x:c r="J139" s="12" t="str">
        <x:v>Both</x:v>
      </x:c>
      <x:c r="K139" s="12" t="str">
        <x:v>Yes</x:v>
      </x:c>
      <x:c r="L139" s="12" t="str">
        <x:v>Yes</x:v>
      </x:c>
      <x:c r="M139" s="12" t="str">
        <x:v>Intraday-Swing</x:v>
      </x:c>
      <x:c r="N139" s="12" t="str">
        <x:v>Source-specific</x:v>
      </x:c>
      <x:c r="O139" s="12" t="str">
        <x:v>Long bullish pivot resistance breakout; optional volume/momentum/RSI/VWAP filters.</x:v>
      </x:c>
      <x:c r="P139" s="12" t="str">
        <x:v>Short bearish pivot support breakdown.</x:v>
      </x:c>
      <x:c r="Q139" s="12" t="str">
        <x:v>ATR target and stop; reverse closes opposing position.</x:v>
      </x:c>
      <x:c r="R139" s="12" t="str">
        <x:v>Pivot bars=3 default; volume 1.5x; momentum; ATR TP/SL</x:v>
      </x:c>
      <x:c r="S139" s="12" t="str">
        <x:v>OHLCV; volume where required</x:v>
      </x:c>
      <x:c r="T139" s="12" t="str">
        <x:v>Reimplement logic; do not copy source code. Use completed bars and realistic fills.</x:v>
      </x:c>
      <x:c r="U139" s="12" t="str">
        <x:v>Community source; published backtests/claims are not evidence; parameter mining risk.</x:v>
      </x:c>
      <x:c r="V139" s="12" t="str">
        <x:v>High</x:v>
      </x:c>
      <x:c r="W139" s="12" t="str">
        <x:v>A</x:v>
      </x:c>
      <x:c r="X139" s="12" t="str">
        <x:v>https://www.tradingview.com/script/4juJumUH-Instant-Breakout-Strategy-with-RSI-VWAP/</x:v>
      </x:c>
      <x:c r="Y139" s="12" t="str">
        <x:v>2026-10-07</x:v>
      </x:c>
      <x:c r="Z139" s="12" t="str">
        <x:v>Test source defaults first, then any mutation as a separate candidate.</x:v>
      </x:c>
    </x:row>
    <x:row r="140" ht="48" customHeight="1">
      <x:c r="A140" s="12" t="str">
        <x:v>EXT-139</x:v>
      </x:c>
      <x:c r="B140" s="12" t="str">
        <x:v>HYE VWAP Mean Reversion + RSI</x:v>
      </x:c>
      <x:c r="C140" s="12" t="str">
        <x:v>Mean Reversion / VWAP</x:v>
      </x:c>
      <x:c r="D140" s="12" t="str">
        <x:v>TradingView public strategy/indicator</x:v>
      </x:c>
      <x:c r="E140" s="12" t="str">
        <x:v>Community open-source / public rules</x:v>
      </x:c>
      <x:c r="F140" s="12" t="str">
        <x:v>Public rule summary</x:v>
      </x:c>
      <x:c r="G140" s="14" t="n">
        <x:v>0.9</x:v>
      </x:c>
      <x:c r="H140" s="12" t="str">
        <x:v>Multi-Asset</x:v>
      </x:c>
      <x:c r="I140" s="12" t="str">
        <x:v>Any liquid volume-traded asset</x:v>
      </x:c>
      <x:c r="J140" s="12" t="str">
        <x:v>Both</x:v>
      </x:c>
      <x:c r="K140" s="12" t="str">
        <x:v>Yes</x:v>
      </x:c>
      <x:c r="L140" s="12" t="str">
        <x:v>Yes</x:v>
      </x:c>
      <x:c r="M140" s="12" t="str">
        <x:v>Intraday-Swing</x:v>
      </x:c>
      <x:c r="N140" s="12" t="str">
        <x:v>Source-specific</x:v>
      </x:c>
      <x:c r="O140" s="12" t="str">
        <x:v>Long when 2-period VWAP &gt;=3% below 5-period VWAP and EMA(5) of RSI(2) &lt;30.</x:v>
      </x:c>
      <x:c r="P140" s="12" t="str">
        <x:v>Short when 2-period VWAP &gt;=3% above 5-period VWAP and EMA(5) of RSI(2) &gt;70.</x:v>
      </x:c>
      <x:c r="Q140" s="12" t="str">
        <x:v>Exit long when 2-VWAP &gt;5-VWAP; short inverse.</x:v>
      </x:c>
      <x:c r="R140" s="12" t="str">
        <x:v>VWAP 2/5; 3% deviation; RSI(2), EMA5, 30/70</x:v>
      </x:c>
      <x:c r="S140" s="12" t="str">
        <x:v>OHLCV; volume where required</x:v>
      </x:c>
      <x:c r="T140" s="12" t="str">
        <x:v>Reimplement logic; do not copy source code. Use completed bars and realistic fills.</x:v>
      </x:c>
      <x:c r="U140" s="12" t="str">
        <x:v>Community source; published backtests/claims are not evidence; parameter mining risk.</x:v>
      </x:c>
      <x:c r="V140" s="12" t="str">
        <x:v>High</x:v>
      </x:c>
      <x:c r="W140" s="12" t="str">
        <x:v>A</x:v>
      </x:c>
      <x:c r="X140" s="12" t="str">
        <x:v>https://www.tradingview.com/script/WeAMGj9j/</x:v>
      </x:c>
      <x:c r="Y140" s="12" t="str">
        <x:v>2026-10-07</x:v>
      </x:c>
      <x:c r="Z140" s="12" t="str">
        <x:v>Test source defaults first, then any mutation as a separate candidate.</x:v>
      </x:c>
    </x:row>
    <x:row r="141" ht="48" customHeight="1">
      <x:c r="A141" s="12" t="str">
        <x:v>EXT-140</x:v>
      </x:c>
      <x:c r="B141" s="12" t="str">
        <x:v>Opening Range Breakout + VWAP + HTF RSI</x:v>
      </x:c>
      <x:c r="C141" s="12" t="str">
        <x:v>Opening Range Breakout</x:v>
      </x:c>
      <x:c r="D141" s="12" t="str">
        <x:v>TradingView public strategy/indicator</x:v>
      </x:c>
      <x:c r="E141" s="12" t="str">
        <x:v>Community open-source / public rules</x:v>
      </x:c>
      <x:c r="F141" s="12" t="str">
        <x:v>Public rule summary</x:v>
      </x:c>
      <x:c r="G141" s="14" t="n">
        <x:v>0.9</x:v>
      </x:c>
      <x:c r="H141" s="12" t="str">
        <x:v>Multi-Asset</x:v>
      </x:c>
      <x:c r="I141" s="12" t="str">
        <x:v>Intraday stocks/ETFs/futures</x:v>
      </x:c>
      <x:c r="J141" s="12" t="str">
        <x:v>Both</x:v>
      </x:c>
      <x:c r="K141" s="12" t="str">
        <x:v>Yes</x:v>
      </x:c>
      <x:c r="L141" s="12" t="str">
        <x:v>Yes</x:v>
      </x:c>
      <x:c r="M141" s="12" t="str">
        <x:v>Intraday-Swing</x:v>
      </x:c>
      <x:c r="N141" s="12" t="str">
        <x:v>Source-specific</x:v>
      </x:c>
      <x:c r="O141" s="12" t="str">
        <x:v>Long when VWAP breaks above 15/30m opening-range high and HTF RSI confirms configured threshold.</x:v>
      </x:c>
      <x:c r="P141" s="12" t="str">
        <x:v>Short when VWAP breaks below opening-range low with HTF RSI confirmation.</x:v>
      </x:c>
      <x:c r="Q141" s="12" t="str">
        <x:v>Time/stop/target to be specified in test.</x:v>
      </x:c>
      <x:c r="R141" s="12" t="str">
        <x:v>OR 15/30m; VWAP; HTF RSI</x:v>
      </x:c>
      <x:c r="S141" s="12" t="str">
        <x:v>OHLCV; volume where required</x:v>
      </x:c>
      <x:c r="T141" s="12" t="str">
        <x:v>Reimplement logic; do not copy source code. Use completed bars and realistic fills.</x:v>
      </x:c>
      <x:c r="U141" s="12" t="str">
        <x:v>Community source; published backtests/claims are not evidence; parameter mining risk.</x:v>
      </x:c>
      <x:c r="V141" s="12" t="str">
        <x:v>High</x:v>
      </x:c>
      <x:c r="W141" s="12" t="str">
        <x:v>A</x:v>
      </x:c>
      <x:c r="X141" s="12" t="str">
        <x:v>https://www.tradingview.com/script/bfy7oifZ-Opening-Range-Breakout-with-VWAP-RSI-Confirmation/</x:v>
      </x:c>
      <x:c r="Y141" s="12" t="str">
        <x:v>2026-10-07</x:v>
      </x:c>
      <x:c r="Z141" s="12" t="str">
        <x:v>Test source defaults first, then any mutation as a separate candidate.</x:v>
      </x:c>
    </x:row>
    <x:row r="142" ht="48" customHeight="1">
      <x:c r="A142" s="12" t="str">
        <x:v>EXT-141</x:v>
      </x:c>
      <x:c r="B142" s="12" t="str">
        <x:v>Stock N-Bar Breakout + Trend + Volume</x:v>
      </x:c>
      <x:c r="C142" s="12" t="str">
        <x:v>Breakout / Momentum</x:v>
      </x:c>
      <x:c r="D142" s="12" t="str">
        <x:v>TradingView public strategy/indicator</x:v>
      </x:c>
      <x:c r="E142" s="12" t="str">
        <x:v>Community open-source / public rules</x:v>
      </x:c>
      <x:c r="F142" s="12" t="str">
        <x:v>Public rule summary</x:v>
      </x:c>
      <x:c r="G142" s="14" t="n">
        <x:v>0.9</x:v>
      </x:c>
      <x:c r="H142" s="12" t="str">
        <x:v>Equities</x:v>
      </x:c>
      <x:c r="I142" s="12" t="str">
        <x:v>Stocks and other liquid OHLCV</x:v>
      </x:c>
      <x:c r="J142" s="12" t="str">
        <x:v>Both</x:v>
      </x:c>
      <x:c r="K142" s="12" t="str">
        <x:v>Yes</x:v>
      </x:c>
      <x:c r="L142" s="12" t="str">
        <x:v>Yes</x:v>
      </x:c>
      <x:c r="M142" s="12" t="str">
        <x:v>Intraday-Swing</x:v>
      </x:c>
      <x:c r="N142" s="12" t="str">
        <x:v>Source-specific</x:v>
      </x:c>
      <x:c r="O142" s="12" t="str">
        <x:v>Close above prior N-bar high, only if trend and volume filters pass.</x:v>
      </x:c>
      <x:c r="P142" s="12" t="str">
        <x:v>Close below prior N-bar low with bearish trend/volume filters.</x:v>
      </x:c>
      <x:c r="Q142" s="12" t="str">
        <x:v>Fixed ATR target + trailing stop + longer time exit.</x:v>
      </x:c>
      <x:c r="R142" s="12" t="str">
        <x:v>N=20 default; trend filter; volume; ATR</x:v>
      </x:c>
      <x:c r="S142" s="12" t="str">
        <x:v>OHLCV; volume where required</x:v>
      </x:c>
      <x:c r="T142" s="12" t="str">
        <x:v>Reimplement logic; do not copy source code. Use completed bars and realistic fills.</x:v>
      </x:c>
      <x:c r="U142" s="12" t="str">
        <x:v>Community source; published backtests/claims are not evidence; parameter mining risk.</x:v>
      </x:c>
      <x:c r="V142" s="12" t="str">
        <x:v>High</x:v>
      </x:c>
      <x:c r="W142" s="12" t="str">
        <x:v>A</x:v>
      </x:c>
      <x:c r="X142" s="12" t="str">
        <x:v>https://www.tradingview.com/script/n7sVlEUq-Stock-Breakout-Momentum-Strategy/</x:v>
      </x:c>
      <x:c r="Y142" s="12" t="str">
        <x:v>2026-10-07</x:v>
      </x:c>
      <x:c r="Z142" s="12" t="str">
        <x:v>Test source defaults first, then any mutation as a separate candidate.</x:v>
      </x:c>
    </x:row>
    <x:row r="143" ht="48" customHeight="1">
      <x:c r="A143" s="12" t="str">
        <x:v>EXT-142</x:v>
      </x:c>
      <x:c r="B143" s="12" t="str">
        <x:v>Pivot + Breakout + VWAP + RSI + MACD Multi-Confirmation</x:v>
      </x:c>
      <x:c r="C143" s="12" t="str">
        <x:v>Multi-Confirmation Momentum</x:v>
      </x:c>
      <x:c r="D143" s="12" t="str">
        <x:v>TradingView public strategy/indicator</x:v>
      </x:c>
      <x:c r="E143" s="12" t="str">
        <x:v>Community open-source / public rules</x:v>
      </x:c>
      <x:c r="F143" s="12" t="str">
        <x:v>Public rule summary</x:v>
      </x:c>
      <x:c r="G143" s="14" t="n">
        <x:v>0.9</x:v>
      </x:c>
      <x:c r="H143" s="12" t="str">
        <x:v>Equities</x:v>
      </x:c>
      <x:c r="I143" s="12" t="str">
        <x:v>Liquid stocks/ETFs</x:v>
      </x:c>
      <x:c r="J143" s="12" t="str">
        <x:v>Long source; short derived</x:v>
      </x:c>
      <x:c r="K143" s="12" t="str">
        <x:v>Yes</x:v>
      </x:c>
      <x:c r="L143" s="12" t="str">
        <x:v>Derived mirror</x:v>
      </x:c>
      <x:c r="M143" s="12" t="str">
        <x:v>Intraday-Swing</x:v>
      </x:c>
      <x:c r="N143" s="12" t="str">
        <x:v>Source-specific</x:v>
      </x:c>
      <x:c r="O143" s="12" t="str">
        <x:v>Require &gt;=3 core confirmations plus RSI sweet spot and bullish MACD.</x:v>
      </x:c>
      <x:c r="P143" s="12" t="str">
        <x:v>Derived mirror: bearish pivots/breakdown/below VWAP + bearish RSI/MACD conditions.</x:v>
      </x:c>
      <x:c r="Q143" s="12" t="str">
        <x:v>Signal invalidation / risk rule to formalize.</x:v>
      </x:c>
      <x:c r="R143" s="12" t="str">
        <x:v>Pivot; breakout; VWAP; RSI; MACD</x:v>
      </x:c>
      <x:c r="S143" s="12" t="str">
        <x:v>OHLCV; volume where required</x:v>
      </x:c>
      <x:c r="T143" s="12" t="str">
        <x:v>Reimplement logic; do not copy source code. Use completed bars and realistic fills.</x:v>
      </x:c>
      <x:c r="U143" s="12" t="str">
        <x:v>Community source; published backtests/claims are not evidence; parameter mining risk.</x:v>
      </x:c>
      <x:c r="V143" s="12" t="str">
        <x:v>High</x:v>
      </x:c>
      <x:c r="W143" s="12" t="str">
        <x:v>B</x:v>
      </x:c>
      <x:c r="X143" s="12" t="str">
        <x:v>https://www.tradingview.com/script/c77L1C6K-Multi-Strategy-Filter-Pivot-Breakout-VWAP-RSI-MACD/</x:v>
      </x:c>
      <x:c r="Y143" s="12" t="str">
        <x:v>2026-10-07</x:v>
      </x:c>
      <x:c r="Z143" s="12" t="str">
        <x:v>Test source defaults first, then any mutation as a separate candidate.</x:v>
      </x:c>
    </x:row>
    <x:row r="144" ht="48" customHeight="1">
      <x:c r="A144" s="12" t="str">
        <x:v>EXT-143</x:v>
      </x:c>
      <x:c r="B144" s="12" t="str">
        <x:v>Bollinger + RSI Re-Entry Mean Reversion</x:v>
      </x:c>
      <x:c r="C144" s="12" t="str">
        <x:v>Mean Reversion</x:v>
      </x:c>
      <x:c r="D144" s="12" t="str">
        <x:v>TradingView public strategy/indicator</x:v>
      </x:c>
      <x:c r="E144" s="12" t="str">
        <x:v>Community open-source / public rules</x:v>
      </x:c>
      <x:c r="F144" s="12" t="str">
        <x:v>Public rule summary</x:v>
      </x:c>
      <x:c r="G144" s="14" t="n">
        <x:v>0.9</x:v>
      </x:c>
      <x:c r="H144" s="12" t="str">
        <x:v>Multi-Asset</x:v>
      </x:c>
      <x:c r="I144" s="12" t="str">
        <x:v>Any liquid OHLCV instrument</x:v>
      </x:c>
      <x:c r="J144" s="12" t="str">
        <x:v>Both</x:v>
      </x:c>
      <x:c r="K144" s="12" t="str">
        <x:v>Yes</x:v>
      </x:c>
      <x:c r="L144" s="12" t="str">
        <x:v>Yes</x:v>
      </x:c>
      <x:c r="M144" s="12" t="str">
        <x:v>Intraday-Swing</x:v>
      </x:c>
      <x:c r="N144" s="12" t="str">
        <x:v>Source-specific</x:v>
      </x:c>
      <x:c r="O144" s="12" t="str">
        <x:v>RSI oversold then bullish candle closes back inside lower BB.</x:v>
      </x:c>
      <x:c r="P144" s="12" t="str">
        <x:v>RSI overbought then bearish candle closes back inside upper BB.</x:v>
      </x:c>
      <x:c r="Q144" s="12" t="str">
        <x:v>Middle/other band or opposite signal; formalize alternatives.</x:v>
      </x:c>
      <x:c r="R144" s="12" t="str">
        <x:v>BB; RSI thresholds</x:v>
      </x:c>
      <x:c r="S144" s="12" t="str">
        <x:v>OHLCV; volume where required</x:v>
      </x:c>
      <x:c r="T144" s="12" t="str">
        <x:v>Reimplement logic; do not copy source code. Use completed bars and realistic fills.</x:v>
      </x:c>
      <x:c r="U144" s="12" t="str">
        <x:v>Community source; published backtests/claims are not evidence; parameter mining risk.</x:v>
      </x:c>
      <x:c r="V144" s="12" t="str">
        <x:v>High</x:v>
      </x:c>
      <x:c r="W144" s="12" t="str">
        <x:v>A</x:v>
      </x:c>
      <x:c r="X144" s="12" t="str">
        <x:v>https://www.tradingview.com/script/XRPeqEdA-Bollinger-Bands-Mean-Reversion-using-RSI-Krishna-Peri/</x:v>
      </x:c>
      <x:c r="Y144" s="12" t="str">
        <x:v>2026-10-07</x:v>
      </x:c>
      <x:c r="Z144" s="12" t="str">
        <x:v>Test source defaults first, then any mutation as a separate candidate.</x:v>
      </x:c>
    </x:row>
    <x:row r="145" ht="48" customHeight="1">
      <x:c r="A145" s="12" t="str">
        <x:v>EXT-144</x:v>
      </x:c>
      <x:c r="B145" s="12" t="str">
        <x:v>Donchian/Channel RSI Breakout Signals</x:v>
      </x:c>
      <x:c r="C145" s="12" t="str">
        <x:v>Breakout</x:v>
      </x:c>
      <x:c r="D145" s="12" t="str">
        <x:v>TradingView public strategy/indicator</x:v>
      </x:c>
      <x:c r="E145" s="12" t="str">
        <x:v>Community open-source / public rules</x:v>
      </x:c>
      <x:c r="F145" s="12" t="str">
        <x:v>Public rule summary</x:v>
      </x:c>
      <x:c r="G145" s="14" t="n">
        <x:v>0.9</x:v>
      </x:c>
      <x:c r="H145" s="12" t="str">
        <x:v>Multi-Asset</x:v>
      </x:c>
      <x:c r="I145" s="12" t="str">
        <x:v>Any liquid OHLCV instrument</x:v>
      </x:c>
      <x:c r="J145" s="12" t="str">
        <x:v>Both</x:v>
      </x:c>
      <x:c r="K145" s="12" t="str">
        <x:v>Yes</x:v>
      </x:c>
      <x:c r="L145" s="12" t="str">
        <x:v>Yes</x:v>
      </x:c>
      <x:c r="M145" s="12" t="str">
        <x:v>Intraday-Swing</x:v>
      </x:c>
      <x:c r="N145" s="12" t="str">
        <x:v>Source-specific</x:v>
      </x:c>
      <x:c r="O145" s="12" t="str">
        <x:v>Buy on close above rolling highest-high channel with optional momentum context.</x:v>
      </x:c>
      <x:c r="P145" s="12" t="str">
        <x:v>Sell/short on close below rolling lowest-low channel.</x:v>
      </x:c>
      <x:c r="Q145" s="12" t="str">
        <x:v>Percent TP or opposite signal depending variant.</x:v>
      </x:c>
      <x:c r="R145" s="12" t="str">
        <x:v>Channel length; RSI; TP%</x:v>
      </x:c>
      <x:c r="S145" s="12" t="str">
        <x:v>OHLCV; volume where required</x:v>
      </x:c>
      <x:c r="T145" s="12" t="str">
        <x:v>Reimplement logic; do not copy source code. Use completed bars and realistic fills.</x:v>
      </x:c>
      <x:c r="U145" s="12" t="str">
        <x:v>Community source; published backtests/claims are not evidence; parameter mining risk.</x:v>
      </x:c>
      <x:c r="V145" s="12" t="str">
        <x:v>High</x:v>
      </x:c>
      <x:c r="W145" s="12" t="str">
        <x:v>A</x:v>
      </x:c>
      <x:c r="X145" s="12" t="str">
        <x:v>https://www.tradingview.com/script/XqFimuXl-RSI-BREAKOUT-SIGNALS/</x:v>
      </x:c>
      <x:c r="Y145" s="12" t="str">
        <x:v>2026-10-07</x:v>
      </x:c>
      <x:c r="Z145" s="12" t="str">
        <x:v>Test source defaults first, then any mutation as a separate candidate.</x:v>
      </x:c>
    </x:row>
    <x:row r="146" ht="48" customHeight="1">
      <x:c r="A146" s="12" t="str">
        <x:v>EXT-145</x:v>
      </x:c>
      <x:c r="B146" s="12" t="str">
        <x:v>RSI Entry + Bollinger Exit Long/Short</x:v>
      </x:c>
      <x:c r="C146" s="12" t="str">
        <x:v>Mean Reversion / Oscillator</x:v>
      </x:c>
      <x:c r="D146" s="12" t="str">
        <x:v>TradingView public strategy/indicator</x:v>
      </x:c>
      <x:c r="E146" s="12" t="str">
        <x:v>Community open-source / public rules</x:v>
      </x:c>
      <x:c r="F146" s="12" t="str">
        <x:v>Public rule summary</x:v>
      </x:c>
      <x:c r="G146" s="14" t="n">
        <x:v>0.9</x:v>
      </x:c>
      <x:c r="H146" s="12" t="str">
        <x:v>Multi-Asset</x:v>
      </x:c>
      <x:c r="I146" s="12" t="str">
        <x:v>Any liquid OHLCV instrument</x:v>
      </x:c>
      <x:c r="J146" s="12" t="str">
        <x:v>Both</x:v>
      </x:c>
      <x:c r="K146" s="12" t="str">
        <x:v>Yes</x:v>
      </x:c>
      <x:c r="L146" s="12" t="str">
        <x:v>Yes</x:v>
      </x:c>
      <x:c r="M146" s="12" t="str">
        <x:v>Intraday-Swing</x:v>
      </x:c>
      <x:c r="N146" s="12" t="str">
        <x:v>Source-specific</x:v>
      </x:c>
      <x:c r="O146" s="12" t="str">
        <x:v>Buy when RSI crosses above oversold default ~29.</x:v>
      </x:c>
      <x:c r="P146" s="12" t="str">
        <x:v>Short when RSI crosses below overbought default ~71.</x:v>
      </x:c>
      <x:c r="Q146" s="12" t="str">
        <x:v>Long closes on price crossing below upper BB; short closes crossing above lower BB.</x:v>
      </x:c>
      <x:c r="R146" s="12" t="str">
        <x:v>RSI; BB; cascade filter</x:v>
      </x:c>
      <x:c r="S146" s="12" t="str">
        <x:v>OHLCV; volume where required</x:v>
      </x:c>
      <x:c r="T146" s="12" t="str">
        <x:v>Reimplement logic; do not copy source code. Use completed bars and realistic fills.</x:v>
      </x:c>
      <x:c r="U146" s="12" t="str">
        <x:v>Community source; published backtests/claims are not evidence; parameter mining risk.</x:v>
      </x:c>
      <x:c r="V146" s="12" t="str">
        <x:v>High</x:v>
      </x:c>
      <x:c r="W146" s="12" t="str">
        <x:v>A</x:v>
      </x:c>
      <x:c r="X146" s="12" t="str">
        <x:v>https://www.tradingview.com/script/5VupZDbT/</x:v>
      </x:c>
      <x:c r="Y146" s="12" t="str">
        <x:v>2026-10-07</x:v>
      </x:c>
      <x:c r="Z146" s="12" t="str">
        <x:v>Test source defaults first, then any mutation as a separate candidate.</x:v>
      </x:c>
    </x:row>
    <x:row r="147" ht="48" customHeight="1">
      <x:c r="A147" s="12" t="str">
        <x:v>EXT-146</x:v>
      </x:c>
      <x:c r="B147" s="12" t="str">
        <x:v>MACD Histogram + Supertrend + DEMA</x:v>
      </x:c>
      <x:c r="C147" s="12" t="str">
        <x:v>Trend / Momentum</x:v>
      </x:c>
      <x:c r="D147" s="12" t="str">
        <x:v>TradingView public strategy/indicator</x:v>
      </x:c>
      <x:c r="E147" s="12" t="str">
        <x:v>Community open-source / public rules</x:v>
      </x:c>
      <x:c r="F147" s="12" t="str">
        <x:v>Public rule summary</x:v>
      </x:c>
      <x:c r="G147" s="14" t="n">
        <x:v>0.9</x:v>
      </x:c>
      <x:c r="H147" s="12" t="str">
        <x:v>Multi-Asset</x:v>
      </x:c>
      <x:c r="I147" s="12" t="str">
        <x:v>Any liquid OHLCV instrument</x:v>
      </x:c>
      <x:c r="J147" s="12" t="str">
        <x:v>Both</x:v>
      </x:c>
      <x:c r="K147" s="12" t="str">
        <x:v>Yes</x:v>
      </x:c>
      <x:c r="L147" s="12" t="str">
        <x:v>Yes</x:v>
      </x:c>
      <x:c r="M147" s="12" t="str">
        <x:v>Intraday-Swing</x:v>
      </x:c>
      <x:c r="N147" s="12" t="str">
        <x:v>Source-specific</x:v>
      </x:c>
      <x:c r="O147" s="12" t="str">
        <x:v>MACD histogram crosses above zero + bullish Supertrend + short DEMA &gt; long DEMA.</x:v>
      </x:c>
      <x:c r="P147" s="12" t="str">
        <x:v>Mirror bearish alignment.</x:v>
      </x:c>
      <x:c r="Q147" s="12" t="str">
        <x:v>TP/SL percentages.</x:v>
      </x:c>
      <x:c r="R147" s="12" t="str">
        <x:v>MACD; Supertrend; short/long DEMA; TP/SL</x:v>
      </x:c>
      <x:c r="S147" s="12" t="str">
        <x:v>OHLCV; volume where required</x:v>
      </x:c>
      <x:c r="T147" s="12" t="str">
        <x:v>Reimplement logic; do not copy source code. Use completed bars and realistic fills.</x:v>
      </x:c>
      <x:c r="U147" s="12" t="str">
        <x:v>Community source; published backtests/claims are not evidence; parameter mining risk.</x:v>
      </x:c>
      <x:c r="V147" s="12" t="str">
        <x:v>High</x:v>
      </x:c>
      <x:c r="W147" s="12" t="str">
        <x:v>A</x:v>
      </x:c>
      <x:c r="X147" s="12" t="str">
        <x:v>https://www.tradingview.com/script/N6C38zYl-MACD-Supertrend-DEMA-Strategy/</x:v>
      </x:c>
      <x:c r="Y147" s="12" t="str">
        <x:v>2026-10-07</x:v>
      </x:c>
      <x:c r="Z147" s="12" t="str">
        <x:v>Test source defaults first, then any mutation as a separate candidate.</x:v>
      </x:c>
    </x:row>
    <x:row r="148" ht="48" customHeight="1">
      <x:c r="A148" s="12" t="str">
        <x:v>EXT-147</x:v>
      </x:c>
      <x:c r="B148" s="12" t="str">
        <x:v>ORB 15m + VWAP + Volume + Candle Strength</x:v>
      </x:c>
      <x:c r="C148" s="12" t="str">
        <x:v>Opening Range Breakout</x:v>
      </x:c>
      <x:c r="D148" s="12" t="str">
        <x:v>TradingView public strategy/indicator</x:v>
      </x:c>
      <x:c r="E148" s="12" t="str">
        <x:v>Community open-source / public rules</x:v>
      </x:c>
      <x:c r="F148" s="12" t="str">
        <x:v>Public rule summary</x:v>
      </x:c>
      <x:c r="G148" s="14" t="n">
        <x:v>0.9</x:v>
      </x:c>
      <x:c r="H148" s="12" t="str">
        <x:v>Multi-Asset</x:v>
      </x:c>
      <x:c r="I148" s="12" t="str">
        <x:v>Intraday futures/stocks/indices</x:v>
      </x:c>
      <x:c r="J148" s="12" t="str">
        <x:v>Both</x:v>
      </x:c>
      <x:c r="K148" s="12" t="str">
        <x:v>Yes</x:v>
      </x:c>
      <x:c r="L148" s="12" t="str">
        <x:v>Yes</x:v>
      </x:c>
      <x:c r="M148" s="12" t="str">
        <x:v>Intraday-Swing</x:v>
      </x:c>
      <x:c r="N148" s="12" t="str">
        <x:v>Source-specific</x:v>
      </x:c>
      <x:c r="O148" s="12" t="str">
        <x:v>Close above OR high; optional VWAP/volume/candle-strength filters.</x:v>
      </x:c>
      <x:c r="P148" s="12" t="str">
        <x:v>Close below OR low with bearish filters.</x:v>
      </x:c>
      <x:c r="Q148" s="12" t="str">
        <x:v>Defined risk/target; formalize exact risk variants.</x:v>
      </x:c>
      <x:c r="R148" s="12" t="str">
        <x:v>First 15m range; VWAP; RVOL; candle strength</x:v>
      </x:c>
      <x:c r="S148" s="12" t="str">
        <x:v>OHLCV; volume where required</x:v>
      </x:c>
      <x:c r="T148" s="12" t="str">
        <x:v>Reimplement logic; do not copy source code. Use completed bars and realistic fills.</x:v>
      </x:c>
      <x:c r="U148" s="12" t="str">
        <x:v>Community source; published backtests/claims are not evidence; parameter mining risk.</x:v>
      </x:c>
      <x:c r="V148" s="12" t="str">
        <x:v>High</x:v>
      </x:c>
      <x:c r="W148" s="12" t="str">
        <x:v>A</x:v>
      </x:c>
      <x:c r="X148" s="12" t="str">
        <x:v>https://www.tradingview.com/script/wLSGHPUe-ORB-Breakout-Strategy-with-VWAP-and-Volume-Filters/</x:v>
      </x:c>
      <x:c r="Y148" s="12" t="str">
        <x:v>2026-10-07</x:v>
      </x:c>
      <x:c r="Z148" s="12" t="str">
        <x:v>Test source defaults first, then any mutation as a separate candidate.</x:v>
      </x:c>
    </x:row>
    <x:row r="149" ht="48" customHeight="1">
      <x:c r="A149" s="12" t="str">
        <x:v>EXT-148</x:v>
      </x:c>
      <x:c r="B149" s="12" t="str">
        <x:v>Supertrend + MACD + EMA200</x:v>
      </x:c>
      <x:c r="C149" s="12" t="str">
        <x:v>Trend / Momentum</x:v>
      </x:c>
      <x:c r="D149" s="12" t="str">
        <x:v>TradingView public strategy/indicator</x:v>
      </x:c>
      <x:c r="E149" s="12" t="str">
        <x:v>Community open-source / public rules</x:v>
      </x:c>
      <x:c r="F149" s="12" t="str">
        <x:v>Public rule summary</x:v>
      </x:c>
      <x:c r="G149" s="14" t="n">
        <x:v>0.9</x:v>
      </x:c>
      <x:c r="H149" s="12" t="str">
        <x:v>Multi-Asset</x:v>
      </x:c>
      <x:c r="I149" s="12" t="str">
        <x:v>Any liquid OHLCV instrument</x:v>
      </x:c>
      <x:c r="J149" s="12" t="str">
        <x:v>Both</x:v>
      </x:c>
      <x:c r="K149" s="12" t="str">
        <x:v>Yes</x:v>
      </x:c>
      <x:c r="L149" s="12" t="str">
        <x:v>Yes</x:v>
      </x:c>
      <x:c r="M149" s="12" t="str">
        <x:v>Intraday-Swing</x:v>
      </x:c>
      <x:c r="N149" s="12" t="str">
        <x:v>Source-specific</x:v>
      </x:c>
      <x:c r="O149" s="12" t="str">
        <x:v>Long if Supertrend bullish, MACD&gt;signal, price&gt;EMA200.</x:v>
      </x:c>
      <x:c r="P149" s="12" t="str">
        <x:v>Short if Supertrend bearish, MACD&lt;signal, price&lt;EMA200.</x:v>
      </x:c>
      <x:c r="Q149" s="12" t="str">
        <x:v>MACD reverse; recent-swing stop.</x:v>
      </x:c>
      <x:c r="R149" s="12" t="str">
        <x:v>Supertrend; MACD; EMA200; 10-bar swing stop</x:v>
      </x:c>
      <x:c r="S149" s="12" t="str">
        <x:v>OHLCV; volume where required</x:v>
      </x:c>
      <x:c r="T149" s="12" t="str">
        <x:v>Reimplement logic; do not copy source code. Use completed bars and realistic fills.</x:v>
      </x:c>
      <x:c r="U149" s="12" t="str">
        <x:v>Community source; published backtests/claims are not evidence; parameter mining risk.</x:v>
      </x:c>
      <x:c r="V149" s="12" t="str">
        <x:v>High</x:v>
      </x:c>
      <x:c r="W149" s="12" t="str">
        <x:v>A</x:v>
      </x:c>
      <x:c r="X149" s="12" t="str">
        <x:v>https://www.tradingview.com/script/lGdn6A7A/</x:v>
      </x:c>
      <x:c r="Y149" s="12" t="str">
        <x:v>2026-10-07</x:v>
      </x:c>
      <x:c r="Z149" s="12" t="str">
        <x:v>Test source defaults first, then any mutation as a separate candidate.</x:v>
      </x:c>
    </x:row>
    <x:row r="150" ht="48" customHeight="1">
      <x:c r="A150" s="12" t="str">
        <x:v>EXT-149</x:v>
      </x:c>
      <x:c r="B150" s="12" t="str">
        <x:v>Crypto RSI Pullback in EMA100 Trend</x:v>
      </x:c>
      <x:c r="C150" s="12" t="str">
        <x:v>Trend-Pullback / RSI</x:v>
      </x:c>
      <x:c r="D150" s="12" t="str">
        <x:v>TradingView public strategy/indicator</x:v>
      </x:c>
      <x:c r="E150" s="12" t="str">
        <x:v>Community open-source / public rules</x:v>
      </x:c>
      <x:c r="F150" s="12" t="str">
        <x:v>Public rule summary</x:v>
      </x:c>
      <x:c r="G150" s="14" t="n">
        <x:v>0.9</x:v>
      </x:c>
      <x:c r="H150" s="12" t="str">
        <x:v>Equities</x:v>
      </x:c>
      <x:c r="I150" s="12" t="str">
        <x:v>Crypto; test on other liquid assets</x:v>
      </x:c>
      <x:c r="J150" s="12" t="str">
        <x:v>Both</x:v>
      </x:c>
      <x:c r="K150" s="12" t="str">
        <x:v>Yes</x:v>
      </x:c>
      <x:c r="L150" s="12" t="str">
        <x:v>Yes</x:v>
      </x:c>
      <x:c r="M150" s="12" t="str">
        <x:v>Intraday-Swing</x:v>
      </x:c>
      <x:c r="N150" s="12" t="str">
        <x:v>Source-specific</x:v>
      </x:c>
      <x:c r="O150" s="12" t="str">
        <x:v>Price above EMA100 and RSI closes below 40.</x:v>
      </x:c>
      <x:c r="P150" s="12" t="str">
        <x:v>Price below EMA100 and RSI closes above 60.</x:v>
      </x:c>
      <x:c r="Q150" s="12" t="str">
        <x:v>Source-specific; test RSI normalization/EMA reversal/time exit variants separately.</x:v>
      </x:c>
      <x:c r="R150" s="12" t="str">
        <x:v>EMA100; RSI 40/60</x:v>
      </x:c>
      <x:c r="S150" s="12" t="str">
        <x:v>OHLCV; volume where required</x:v>
      </x:c>
      <x:c r="T150" s="12" t="str">
        <x:v>Reimplement logic; do not copy source code. Use completed bars and realistic fills.</x:v>
      </x:c>
      <x:c r="U150" s="12" t="str">
        <x:v>Community source; published backtests/claims are not evidence; parameter mining risk.</x:v>
      </x:c>
      <x:c r="V150" s="12" t="str">
        <x:v>High</x:v>
      </x:c>
      <x:c r="W150" s="12" t="str">
        <x:v>A</x:v>
      </x:c>
      <x:c r="X150" s="12" t="str">
        <x:v>https://www.tradingview.com/script/RAIkCOKJ-RSI-Mean-Reversion-Strategy/</x:v>
      </x:c>
      <x:c r="Y150" s="12" t="str">
        <x:v>2026-10-07</x:v>
      </x:c>
      <x:c r="Z150" s="12" t="str">
        <x:v>Test source defaults first, then any mutation as a separate candidate.</x:v>
      </x:c>
    </x:row>
    <x:row r="151" ht="48" customHeight="1">
      <x:c r="A151" s="12" t="str">
        <x:v>EXT-150</x:v>
      </x:c>
      <x:c r="B151" s="12" t="str">
        <x:v>Adaptive Supertrend MA Crossover</x:v>
      </x:c>
      <x:c r="C151" s="12" t="str">
        <x:v>Trend / Crossover</x:v>
      </x:c>
      <x:c r="D151" s="12" t="str">
        <x:v>TradingView public strategy/indicator</x:v>
      </x:c>
      <x:c r="E151" s="12" t="str">
        <x:v>Community open-source / public rules</x:v>
      </x:c>
      <x:c r="F151" s="12" t="str">
        <x:v>Public rule summary</x:v>
      </x:c>
      <x:c r="G151" s="14" t="n">
        <x:v>0.9</x:v>
      </x:c>
      <x:c r="H151" s="12" t="str">
        <x:v>Multi-Asset</x:v>
      </x:c>
      <x:c r="I151" s="12" t="str">
        <x:v>Futures/stocks/FX/crypto</x:v>
      </x:c>
      <x:c r="J151" s="12" t="str">
        <x:v>Both</x:v>
      </x:c>
      <x:c r="K151" s="12" t="str">
        <x:v>Yes</x:v>
      </x:c>
      <x:c r="L151" s="12" t="str">
        <x:v>Yes</x:v>
      </x:c>
      <x:c r="M151" s="12" t="str">
        <x:v>Intraday-Swing</x:v>
      </x:c>
      <x:c r="N151" s="12" t="str">
        <x:v>Source-specific</x:v>
      </x:c>
      <x:c r="O151" s="12" t="str">
        <x:v>Long when selected MA crosses above Supertrend.</x:v>
      </x:c>
      <x:c r="P151" s="12" t="str">
        <x:v>Short on opposite cross; optional reverse-trading mode.</x:v>
      </x:c>
      <x:c r="Q151" s="12" t="str">
        <x:v>Optional %/point SL and TP.</x:v>
      </x:c>
      <x:c r="R151" s="12" t="str">
        <x:v>Supertrend ATR/factor; SMA/EMA/HMA/WMA</x:v>
      </x:c>
      <x:c r="S151" s="12" t="str">
        <x:v>OHLCV; volume where required</x:v>
      </x:c>
      <x:c r="T151" s="12" t="str">
        <x:v>Reimplement logic; do not copy source code. Use completed bars and realistic fills.</x:v>
      </x:c>
      <x:c r="U151" s="12" t="str">
        <x:v>Community source; published backtests/claims are not evidence; parameter mining risk.</x:v>
      </x:c>
      <x:c r="V151" s="12" t="str">
        <x:v>High</x:v>
      </x:c>
      <x:c r="W151" s="12" t="str">
        <x:v>A</x:v>
      </x:c>
      <x:c r="X151" s="12" t="str">
        <x:v>https://www.tradingview.com/script/lSWZVbuz-Adaptive-Supertrend-MA-Crossover-Strategy/</x:v>
      </x:c>
      <x:c r="Y151" s="12" t="str">
        <x:v>2026-10-07</x:v>
      </x:c>
      <x:c r="Z151" s="12" t="str">
        <x:v>Test source defaults first, then any mutation as a separate candidate.</x:v>
      </x:c>
    </x:row>
    <x:row r="152" ht="48" customHeight="1">
      <x:c r="A152" s="12" t="str">
        <x:v>EXT-151</x:v>
      </x:c>
      <x:c r="B152" s="12" t="str">
        <x:v>VWAP Distance &gt; ATR Mean Reversion</x:v>
      </x:c>
      <x:c r="C152" s="12" t="str">
        <x:v>Mean Reversion / VWAP</x:v>
      </x:c>
      <x:c r="D152" s="12" t="str">
        <x:v>TradingView public strategy/indicator</x:v>
      </x:c>
      <x:c r="E152" s="12" t="str">
        <x:v>Community open-source / public rules</x:v>
      </x:c>
      <x:c r="F152" s="12" t="str">
        <x:v>Public rule summary</x:v>
      </x:c>
      <x:c r="G152" s="14" t="n">
        <x:v>0.9</x:v>
      </x:c>
      <x:c r="H152" s="12" t="str">
        <x:v>Equities</x:v>
      </x:c>
      <x:c r="I152" s="12" t="str">
        <x:v>Liquid volume-traded instruments</x:v>
      </x:c>
      <x:c r="J152" s="12" t="str">
        <x:v>Both</x:v>
      </x:c>
      <x:c r="K152" s="12" t="str">
        <x:v>Yes</x:v>
      </x:c>
      <x:c r="L152" s="12" t="str">
        <x:v>Yes</x:v>
      </x:c>
      <x:c r="M152" s="12" t="str">
        <x:v>Intraday-Swing</x:v>
      </x:c>
      <x:c r="N152" s="12" t="str">
        <x:v>Source-specific</x:v>
      </x:c>
      <x:c r="O152" s="12" t="str">
        <x:v>Long when close is sufficiently below VWAP by ATR multiple.</x:v>
      </x:c>
      <x:c r="P152" s="12" t="str">
        <x:v>Short when sufficiently above VWAP by ATR multiple.</x:v>
      </x:c>
      <x:c r="Q152" s="12" t="str">
        <x:v>Target VWAP / risk stop to formalize.</x:v>
      </x:c>
      <x:c r="R152" s="12" t="str">
        <x:v>VWAP length; ATR length; distance multiplier</x:v>
      </x:c>
      <x:c r="S152" s="12" t="str">
        <x:v>OHLCV; volume where required</x:v>
      </x:c>
      <x:c r="T152" s="12" t="str">
        <x:v>Reimplement logic; do not copy source code. Use completed bars and realistic fills.</x:v>
      </x:c>
      <x:c r="U152" s="12" t="str">
        <x:v>Community source; published backtests/claims are not evidence; parameter mining risk.</x:v>
      </x:c>
      <x:c r="V152" s="12" t="str">
        <x:v>High</x:v>
      </x:c>
      <x:c r="W152" s="12" t="str">
        <x:v>A</x:v>
      </x:c>
      <x:c r="X152" s="12" t="str">
        <x:v>https://www.tradingview.com/script/eZ3GJvsP-VWAP-ATR-mean-reeeeeeeeee/</x:v>
      </x:c>
      <x:c r="Y152" s="12" t="str">
        <x:v>2026-10-07</x:v>
      </x:c>
      <x:c r="Z152" s="12" t="str">
        <x:v>Test source defaults first, then any mutation as a separate candidate.</x:v>
      </x:c>
    </x:row>
    <x:row r="153" ht="48" customHeight="1">
      <x:c r="A153" s="12" t="str">
        <x:v>EXT-152</x:v>
      </x:c>
      <x:c r="B153" s="12" t="str">
        <x:v>3 EMA + Supertrend Alignment</x:v>
      </x:c>
      <x:c r="C153" s="12" t="str">
        <x:v>Trend</x:v>
      </x:c>
      <x:c r="D153" s="12" t="str">
        <x:v>TradingView public strategy/indicator</x:v>
      </x:c>
      <x:c r="E153" s="12" t="str">
        <x:v>Community open-source / public rules</x:v>
      </x:c>
      <x:c r="F153" s="12" t="str">
        <x:v>Public rule summary</x:v>
      </x:c>
      <x:c r="G153" s="14" t="n">
        <x:v>0.9</x:v>
      </x:c>
      <x:c r="H153" s="12" t="str">
        <x:v>Multi-Asset</x:v>
      </x:c>
      <x:c r="I153" s="12" t="str">
        <x:v>Any liquid OHLCV instrument</x:v>
      </x:c>
      <x:c r="J153" s="12" t="str">
        <x:v>Both</x:v>
      </x:c>
      <x:c r="K153" s="12" t="str">
        <x:v>Yes</x:v>
      </x:c>
      <x:c r="L153" s="12" t="str">
        <x:v>Yes</x:v>
      </x:c>
      <x:c r="M153" s="12" t="str">
        <x:v>Intraday-Swing</x:v>
      </x:c>
      <x:c r="N153" s="12" t="str">
        <x:v>Source-specific</x:v>
      </x:c>
      <x:c r="O153" s="12" t="str">
        <x:v>Fast EMA crosses above medium EMA while Supertrend bullish.</x:v>
      </x:c>
      <x:c r="P153" s="12" t="str">
        <x:v>Fast EMA crosses below medium EMA while Supertrend bearish.</x:v>
      </x:c>
      <x:c r="Q153" s="12" t="str">
        <x:v>Exit on Supertrend flip or reverse signal.</x:v>
      </x:c>
      <x:c r="R153" s="12" t="str">
        <x:v>Fast/medium/slow EMA; Supertrend</x:v>
      </x:c>
      <x:c r="S153" s="12" t="str">
        <x:v>OHLCV; volume where required</x:v>
      </x:c>
      <x:c r="T153" s="12" t="str">
        <x:v>Reimplement logic; do not copy source code. Use completed bars and realistic fills.</x:v>
      </x:c>
      <x:c r="U153" s="12" t="str">
        <x:v>Community source; published backtests/claims are not evidence; parameter mining risk.</x:v>
      </x:c>
      <x:c r="V153" s="12" t="str">
        <x:v>High</x:v>
      </x:c>
      <x:c r="W153" s="12" t="str">
        <x:v>A</x:v>
      </x:c>
      <x:c r="X153" s="12" t="str">
        <x:v>https://www.tradingview.com/script/pLAcSGCB-3-EMA-Supertrend/</x:v>
      </x:c>
      <x:c r="Y153" s="12" t="str">
        <x:v>2026-10-07</x:v>
      </x:c>
      <x:c r="Z153" s="12" t="str">
        <x:v>Test source defaults first, then any mutation as a separate candidate.</x:v>
      </x:c>
    </x:row>
    <x:row r="154" ht="48" customHeight="1">
      <x:c r="A154" s="12" t="str">
        <x:v>EXT-153</x:v>
      </x:c>
      <x:c r="B154" s="12" t="str">
        <x:v>Ichimoku + MACD + CMF + TSI</x:v>
      </x:c>
      <x:c r="C154" s="12" t="str">
        <x:v>Trend / Multi-Indicator</x:v>
      </x:c>
      <x:c r="D154" s="12" t="str">
        <x:v>TradingView public strategy/indicator</x:v>
      </x:c>
      <x:c r="E154" s="12" t="str">
        <x:v>Community open-source / public rules</x:v>
      </x:c>
      <x:c r="F154" s="12" t="str">
        <x:v>Public rule summary</x:v>
      </x:c>
      <x:c r="G154" s="14" t="n">
        <x:v>0.9</x:v>
      </x:c>
      <x:c r="H154" s="12" t="str">
        <x:v>Multi-Asset</x:v>
      </x:c>
      <x:c r="I154" s="12" t="str">
        <x:v>Any timeframe / many markets</x:v>
      </x:c>
      <x:c r="J154" s="12" t="str">
        <x:v>Both</x:v>
      </x:c>
      <x:c r="K154" s="12" t="str">
        <x:v>Yes</x:v>
      </x:c>
      <x:c r="L154" s="12" t="str">
        <x:v>Yes</x:v>
      </x:c>
      <x:c r="M154" s="12" t="str">
        <x:v>Intraday-Swing</x:v>
      </x:c>
      <x:c r="N154" s="12" t="str">
        <x:v>Source-specific</x:v>
      </x:c>
      <x:c r="O154" s="12" t="str">
        <x:v>Ichimoku bullish alignment/cloud + MACD histogram positive + CMF&gt;0 + TSI&gt;0.</x:v>
      </x:c>
      <x:c r="P154" s="12" t="str">
        <x:v>Bearish mirror with values below zero/cloud.</x:v>
      </x:c>
      <x:c r="Q154" s="12" t="str">
        <x:v>Exit on opposite signal.</x:v>
      </x:c>
      <x:c r="R154" s="12" t="str">
        <x:v>Ichimoku; MACD; CMF; TSI</x:v>
      </x:c>
      <x:c r="S154" s="12" t="str">
        <x:v>OHLCV; volume where required</x:v>
      </x:c>
      <x:c r="T154" s="12" t="str">
        <x:v>Reimplement logic; do not copy source code. Use completed bars and realistic fills.</x:v>
      </x:c>
      <x:c r="U154" s="12" t="str">
        <x:v>Community source; published backtests/claims are not evidence; parameter mining risk.</x:v>
      </x:c>
      <x:c r="V154" s="12" t="str">
        <x:v>High</x:v>
      </x:c>
      <x:c r="W154" s="12" t="str">
        <x:v>A</x:v>
      </x:c>
      <x:c r="X154" s="12" t="str">
        <x:v>https://www.tradingview.com/script/Pjsgs9JO-Ichimoku-with-MACD-CMF-TSI/</x:v>
      </x:c>
      <x:c r="Y154" s="12" t="str">
        <x:v>2026-10-07</x:v>
      </x:c>
      <x:c r="Z154" s="12" t="str">
        <x:v>Test source defaults first, then any mutation as a separate candidate.</x:v>
      </x:c>
    </x:row>
    <x:row r="155" ht="48" customHeight="1">
      <x:c r="A155" s="12" t="str">
        <x:v>EXT-154</x:v>
      </x:c>
      <x:c r="B155" s="12" t="str">
        <x:v>Ichimoku + RSI + MACD</x:v>
      </x:c>
      <x:c r="C155" s="12" t="str">
        <x:v>Trend / Multi-Indicator</x:v>
      </x:c>
      <x:c r="D155" s="12" t="str">
        <x:v>TradingView public strategy/indicator</x:v>
      </x:c>
      <x:c r="E155" s="12" t="str">
        <x:v>Community open-source / public rules</x:v>
      </x:c>
      <x:c r="F155" s="12" t="str">
        <x:v>Public rule summary</x:v>
      </x:c>
      <x:c r="G155" s="14" t="n">
        <x:v>0.9</x:v>
      </x:c>
      <x:c r="H155" s="12" t="str">
        <x:v>Multi-Asset</x:v>
      </x:c>
      <x:c r="I155" s="12" t="str">
        <x:v>Any liquid OHLCV instrument</x:v>
      </x:c>
      <x:c r="J155" s="12" t="str">
        <x:v>Both</x:v>
      </x:c>
      <x:c r="K155" s="12" t="str">
        <x:v>Yes</x:v>
      </x:c>
      <x:c r="L155" s="12" t="str">
        <x:v>Yes</x:v>
      </x:c>
      <x:c r="M155" s="12" t="str">
        <x:v>Intraday-Swing</x:v>
      </x:c>
      <x:c r="N155" s="12" t="str">
        <x:v>Source-specific</x:v>
      </x:c>
      <x:c r="O155" s="12" t="str">
        <x:v>Price above cloud + RSI&gt;30 + MACD bull cross.</x:v>
      </x:c>
      <x:c r="P155" s="12" t="str">
        <x:v>Price below cloud + RSI&lt;70 + MACD bear cross.</x:v>
      </x:c>
      <x:c r="Q155" s="12" t="str">
        <x:v>Exit on MACD reverse.</x:v>
      </x:c>
      <x:c r="R155" s="12" t="str">
        <x:v>Ichimoku; RSI; MACD</x:v>
      </x:c>
      <x:c r="S155" s="12" t="str">
        <x:v>OHLCV; volume where required</x:v>
      </x:c>
      <x:c r="T155" s="12" t="str">
        <x:v>Reimplement logic; do not copy source code. Use completed bars and realistic fills.</x:v>
      </x:c>
      <x:c r="U155" s="12" t="str">
        <x:v>Community source; published backtests/claims are not evidence; parameter mining risk.</x:v>
      </x:c>
      <x:c r="V155" s="12" t="str">
        <x:v>High</x:v>
      </x:c>
      <x:c r="W155" s="12" t="str">
        <x:v>A</x:v>
      </x:c>
      <x:c r="X155" s="12" t="str">
        <x:v>https://www.tradingview.com/script/3MZTtLkO-Ichimoku-RSI-MACD-Strategy/</x:v>
      </x:c>
      <x:c r="Y155" s="12" t="str">
        <x:v>2026-10-07</x:v>
      </x:c>
      <x:c r="Z155" s="12" t="str">
        <x:v>Test source defaults first, then any mutation as a separate candidate.</x:v>
      </x:c>
    </x:row>
    <x:row r="156" ht="48" customHeight="1">
      <x:c r="A156" s="12" t="str">
        <x:v>EXT-155</x:v>
      </x:c>
      <x:c r="B156" s="12" t="str">
        <x:v>Supertrend + EMA20 Pullback Touch</x:v>
      </x:c>
      <x:c r="C156" s="12" t="str">
        <x:v>Trend-Pullback</x:v>
      </x:c>
      <x:c r="D156" s="12" t="str">
        <x:v>TradingView public strategy/indicator</x:v>
      </x:c>
      <x:c r="E156" s="12" t="str">
        <x:v>Community open-source / public rules</x:v>
      </x:c>
      <x:c r="F156" s="12" t="str">
        <x:v>Public rule summary</x:v>
      </x:c>
      <x:c r="G156" s="14" t="n">
        <x:v>0.9</x:v>
      </x:c>
      <x:c r="H156" s="12" t="str">
        <x:v>Multi-Asset</x:v>
      </x:c>
      <x:c r="I156" s="12" t="str">
        <x:v>Any liquid OHLCV instrument</x:v>
      </x:c>
      <x:c r="J156" s="12" t="str">
        <x:v>Both</x:v>
      </x:c>
      <x:c r="K156" s="12" t="str">
        <x:v>Yes</x:v>
      </x:c>
      <x:c r="L156" s="12" t="str">
        <x:v>Yes</x:v>
      </x:c>
      <x:c r="M156" s="12" t="str">
        <x:v>Intraday-Swing</x:v>
      </x:c>
      <x:c r="N156" s="12" t="str">
        <x:v>Source-specific</x:v>
      </x:c>
      <x:c r="O156" s="12" t="str">
        <x:v>Bullish Supertrend, EMA20 above Supertrend, bar opens above EMA20 and touches EMA20.</x:v>
      </x:c>
      <x:c r="P156" s="12" t="str">
        <x:v>Bearish Supertrend, EMA20 below Supertrend, bar opens below EMA20 and touches EMA20.</x:v>
      </x:c>
      <x:c r="Q156" s="12" t="str">
        <x:v>Stop at Supertrend; target 2R.</x:v>
      </x:c>
      <x:c r="R156" s="12" t="str">
        <x:v>Supertrend(10,3); EMA20; 2R target</x:v>
      </x:c>
      <x:c r="S156" s="12" t="str">
        <x:v>OHLCV; volume where required</x:v>
      </x:c>
      <x:c r="T156" s="12" t="str">
        <x:v>Reimplement logic; do not copy source code. Use completed bars and realistic fills.</x:v>
      </x:c>
      <x:c r="U156" s="12" t="str">
        <x:v>Community source; published backtests/claims are not evidence; parameter mining risk.</x:v>
      </x:c>
      <x:c r="V156" s="12" t="str">
        <x:v>High</x:v>
      </x:c>
      <x:c r="W156" s="12" t="str">
        <x:v>A</x:v>
      </x:c>
      <x:c r="X156" s="12" t="str">
        <x:v>https://www.tradingview.com/script/7y9djBVn-SuperTrend-EMA-Strategy-PineMyths-1/</x:v>
      </x:c>
      <x:c r="Y156" s="12" t="str">
        <x:v>2026-10-07</x:v>
      </x:c>
      <x:c r="Z156" s="12" t="str">
        <x:v>Test source defaults first, then any mutation as a separate candidate.</x:v>
      </x:c>
    </x:row>
    <x:row r="157" ht="48" customHeight="1">
      <x:c r="A157" s="12" t="str">
        <x:v>EXT-156</x:v>
      </x:c>
      <x:c r="B157" s="12" t="str">
        <x:v>Time-Series Momentum Across Futures</x:v>
      </x:c>
      <x:c r="C157" s="12" t="str">
        <x:v>Trend / Time-Series</x:v>
      </x:c>
      <x:c r="D157" s="12" t="str">
        <x:v>Academic / SSRN</x:v>
      </x:c>
      <x:c r="E157" s="12" t="str">
        <x:v>Academic / institutional research</x:v>
      </x:c>
      <x:c r="F157" s="12" t="str">
        <x:v>Research-summary</x:v>
      </x:c>
      <x:c r="G157" s="14" t="n">
        <x:v>0.94</x:v>
      </x:c>
      <x:c r="H157" s="12" t="str">
        <x:v>Futures/FX</x:v>
      </x:c>
      <x:c r="I157" s="12" t="str">
        <x:v>Equity-index, currency, commodity, bond futures</x:v>
      </x:c>
      <x:c r="J157" s="12" t="str">
        <x:v>Long/Short</x:v>
      </x:c>
      <x:c r="K157" s="12" t="str">
        <x:v>Yes</x:v>
      </x:c>
      <x:c r="L157" s="12" t="str">
        <x:v>Yes</x:v>
      </x:c>
      <x:c r="M157" s="12" t="str">
        <x:v>Days-Months</x:v>
      </x:c>
      <x:c r="N157" s="12" t="str">
        <x:v>Daily/Monthly</x:v>
      </x:c>
      <x:c r="O157" s="12" t="str">
        <x:v>Long markets with positive trailing return/trend over causal 1-12m horizon.</x:v>
      </x:c>
      <x:c r="P157" s="12" t="str">
        <x:v>Short markets with negative trailing return/trend.</x:v>
      </x:c>
      <x:c r="Q157" s="12" t="str">
        <x:v>Periodic rebalance; volatility scale in implementation variants.</x:v>
      </x:c>
      <x:c r="R157" s="12" t="str">
        <x:v>Lookback(s) 1-12m; vol target</x:v>
      </x:c>
      <x:c r="S157" s="12" t="str">
        <x:v>Prices plus asset-specific fundamentals/rates/options data</x:v>
      </x:c>
      <x:c r="T157" s="12" t="str">
        <x:v>Replicate using point-in-time inputs and source-defined formation/holding chronology.</x:v>
      </x:c>
      <x:c r="U157" s="12" t="str">
        <x:v>Published evidence still needs independent MQD reproduction; factor crowding and costs.</x:v>
      </x:c>
      <x:c r="V157" s="12" t="str">
        <x:v>High</x:v>
      </x:c>
      <x:c r="W157" s="12" t="str">
        <x:v>A</x:v>
      </x:c>
      <x:c r="X157" s="12" t="str">
        <x:v>https://papers.ssrn.com/sol3/papers.cfm?abstract_id=2089463</x:v>
      </x:c>
      <x:c r="Y157" s="12" t="str">
        <x:v>2026-10-07</x:v>
      </x:c>
      <x:c r="Z157" s="12" t="str">
        <x:v>Do not import reported performance as evidence.</x:v>
      </x:c>
    </x:row>
    <x:row r="158" ht="48" customHeight="1">
      <x:c r="A158" s="12" t="str">
        <x:v>EXT-157</x:v>
      </x:c>
      <x:c r="B158" s="12" t="str">
        <x:v>Value and Momentum Everywhere - Value Leg</x:v>
      </x:c>
      <x:c r="C158" s="12" t="str">
        <x:v>Value / Cross-Asset</x:v>
      </x:c>
      <x:c r="D158" s="12" t="str">
        <x:v>AQR research</x:v>
      </x:c>
      <x:c r="E158" s="12" t="str">
        <x:v>Academic / institutional research</x:v>
      </x:c>
      <x:c r="F158" s="12" t="str">
        <x:v>Research-summary</x:v>
      </x:c>
      <x:c r="G158" s="14" t="n">
        <x:v>0.84</x:v>
      </x:c>
      <x:c r="H158" s="12" t="str">
        <x:v>Cross-Asset</x:v>
      </x:c>
      <x:c r="I158" s="12" t="str">
        <x:v>Stocks, equity-index futures, bonds, FX, commodities</x:v>
      </x:c>
      <x:c r="J158" s="12" t="str">
        <x:v>Long/Short</x:v>
      </x:c>
      <x:c r="K158" s="12" t="str">
        <x:v>Yes</x:v>
      </x:c>
      <x:c r="L158" s="12" t="str">
        <x:v>Yes</x:v>
      </x:c>
      <x:c r="M158" s="12" t="str">
        <x:v>Days-Months</x:v>
      </x:c>
      <x:c r="N158" s="12" t="str">
        <x:v>Daily/Monthly</x:v>
      </x:c>
      <x:c r="O158" s="12" t="str">
        <x:v>Long relatively cheap assets/securities within comparable universe.</x:v>
      </x:c>
      <x:c r="P158" s="12" t="str">
        <x:v>Short relatively expensive assets.</x:v>
      </x:c>
      <x:c r="Q158" s="12" t="str">
        <x:v>Periodic rebalance.</x:v>
      </x:c>
      <x:c r="R158" s="12" t="str">
        <x:v>Asset-specific value measures; cross-sectional ranks</x:v>
      </x:c>
      <x:c r="S158" s="12" t="str">
        <x:v>Prices plus asset-specific fundamentals/rates/options data</x:v>
      </x:c>
      <x:c r="T158" s="12" t="str">
        <x:v>Replicate using point-in-time inputs and source-defined formation/holding chronology.</x:v>
      </x:c>
      <x:c r="U158" s="12" t="str">
        <x:v>Published evidence still needs independent MQD reproduction; factor crowding and costs.</x:v>
      </x:c>
      <x:c r="V158" s="12" t="str">
        <x:v>Medium</x:v>
      </x:c>
      <x:c r="W158" s="12" t="str">
        <x:v>A</x:v>
      </x:c>
      <x:c r="X158" s="12" t="str">
        <x:v>https://www.aqr.com/insights/research/journal-article/value-and-momentum-everywhere</x:v>
      </x:c>
      <x:c r="Y158" s="12" t="str">
        <x:v>2026-10-07</x:v>
      </x:c>
      <x:c r="Z158" s="12" t="str">
        <x:v>Do not import reported performance as evidence.</x:v>
      </x:c>
    </x:row>
    <x:row r="159" ht="48" customHeight="1">
      <x:c r="A159" s="12" t="str">
        <x:v>EXT-158</x:v>
      </x:c>
      <x:c r="B159" s="12" t="str">
        <x:v>Value and Momentum Everywhere - Momentum Leg</x:v>
      </x:c>
      <x:c r="C159" s="12" t="str">
        <x:v>Momentum / Cross-Asset</x:v>
      </x:c>
      <x:c r="D159" s="12" t="str">
        <x:v>AQR research</x:v>
      </x:c>
      <x:c r="E159" s="12" t="str">
        <x:v>Academic / institutional research</x:v>
      </x:c>
      <x:c r="F159" s="12" t="str">
        <x:v>Research-summary</x:v>
      </x:c>
      <x:c r="G159" s="14" t="n">
        <x:v>0.94</x:v>
      </x:c>
      <x:c r="H159" s="12" t="str">
        <x:v>Cross-Asset</x:v>
      </x:c>
      <x:c r="I159" s="12" t="str">
        <x:v>Stocks, equity-index futures, bonds, FX, commodities</x:v>
      </x:c>
      <x:c r="J159" s="12" t="str">
        <x:v>Long/Short</x:v>
      </x:c>
      <x:c r="K159" s="12" t="str">
        <x:v>Yes</x:v>
      </x:c>
      <x:c r="L159" s="12" t="str">
        <x:v>Yes</x:v>
      </x:c>
      <x:c r="M159" s="12" t="str">
        <x:v>Days-Months</x:v>
      </x:c>
      <x:c r="N159" s="12" t="str">
        <x:v>Daily/Monthly</x:v>
      </x:c>
      <x:c r="O159" s="12" t="str">
        <x:v>Long relative winners.</x:v>
      </x:c>
      <x:c r="P159" s="12" t="str">
        <x:v>Short relative losers.</x:v>
      </x:c>
      <x:c r="Q159" s="12" t="str">
        <x:v>Periodic rebalance.</x:v>
      </x:c>
      <x:c r="R159" s="12" t="str">
        <x:v>Momentum lookback; ranking</x:v>
      </x:c>
      <x:c r="S159" s="12" t="str">
        <x:v>Prices plus asset-specific fundamentals/rates/options data</x:v>
      </x:c>
      <x:c r="T159" s="12" t="str">
        <x:v>Replicate using point-in-time inputs and source-defined formation/holding chronology.</x:v>
      </x:c>
      <x:c r="U159" s="12" t="str">
        <x:v>Published evidence still needs independent MQD reproduction; factor crowding and costs.</x:v>
      </x:c>
      <x:c r="V159" s="12" t="str">
        <x:v>High</x:v>
      </x:c>
      <x:c r="W159" s="12" t="str">
        <x:v>A</x:v>
      </x:c>
      <x:c r="X159" s="12" t="str">
        <x:v>https://www.aqr.com/insights/research/journal-article/value-and-momentum-everywhere</x:v>
      </x:c>
      <x:c r="Y159" s="12" t="str">
        <x:v>2026-10-07</x:v>
      </x:c>
      <x:c r="Z159" s="12" t="str">
        <x:v>Do not import reported performance as evidence.</x:v>
      </x:c>
    </x:row>
    <x:row r="160" ht="48" customHeight="1">
      <x:c r="A160" s="12" t="str">
        <x:v>EXT-159</x:v>
      </x:c>
      <x:c r="B160" s="12" t="str">
        <x:v>Betting Against Beta</x:v>
      </x:c>
      <x:c r="C160" s="12" t="str">
        <x:v>Factor / Low Beta</x:v>
      </x:c>
      <x:c r="D160" s="12" t="str">
        <x:v>Academic / SSRN</x:v>
      </x:c>
      <x:c r="E160" s="12" t="str">
        <x:v>Academic / institutional research</x:v>
      </x:c>
      <x:c r="F160" s="12" t="str">
        <x:v>Research-summary</x:v>
      </x:c>
      <x:c r="G160" s="14" t="n">
        <x:v>0.84</x:v>
      </x:c>
      <x:c r="H160" s="12" t="str">
        <x:v>Cross-Asset</x:v>
      </x:c>
      <x:c r="I160" s="12" t="str">
        <x:v>Equities; bonds; credit; futures</x:v>
      </x:c>
      <x:c r="J160" s="12" t="str">
        <x:v>Long/Short</x:v>
      </x:c>
      <x:c r="K160" s="12" t="str">
        <x:v>Yes</x:v>
      </x:c>
      <x:c r="L160" s="12" t="str">
        <x:v>Yes</x:v>
      </x:c>
      <x:c r="M160" s="12" t="str">
        <x:v>Days-Months</x:v>
      </x:c>
      <x:c r="N160" s="12" t="str">
        <x:v>Daily/Monthly</x:v>
      </x:c>
      <x:c r="O160" s="12" t="str">
        <x:v>Long leveraged low-beta assets/portfolio.</x:v>
      </x:c>
      <x:c r="P160" s="12" t="str">
        <x:v>Short high-beta assets/portfolio.</x:v>
      </x:c>
      <x:c r="Q160" s="12" t="str">
        <x:v>Periodic beta re-estimation and rebalance.</x:v>
      </x:c>
      <x:c r="R160" s="12" t="str">
        <x:v>Beta window; leverage to beta-balance</x:v>
      </x:c>
      <x:c r="S160" s="12" t="str">
        <x:v>Prices plus asset-specific fundamentals/rates/options data</x:v>
      </x:c>
      <x:c r="T160" s="12" t="str">
        <x:v>Replicate using point-in-time inputs and source-defined formation/holding chronology.</x:v>
      </x:c>
      <x:c r="U160" s="12" t="str">
        <x:v>Published evidence still needs independent MQD reproduction; factor crowding and costs.</x:v>
      </x:c>
      <x:c r="V160" s="12" t="str">
        <x:v>Medium</x:v>
      </x:c>
      <x:c r="W160" s="12" t="str">
        <x:v>A</x:v>
      </x:c>
      <x:c r="X160" s="12" t="str">
        <x:v>https://papers.ssrn.com/sol3/papers.cfm?abstract_id=2049939</x:v>
      </x:c>
      <x:c r="Y160" s="12" t="str">
        <x:v>2026-10-07</x:v>
      </x:c>
      <x:c r="Z160" s="12" t="str">
        <x:v>Do not import reported performance as evidence.</x:v>
      </x:c>
    </x:row>
    <x:row r="161" ht="48" customHeight="1">
      <x:c r="A161" s="12" t="str">
        <x:v>EXT-160</x:v>
      </x:c>
      <x:c r="B161" s="12" t="str">
        <x:v>Quality Minus Junk</x:v>
      </x:c>
      <x:c r="C161" s="12" t="str">
        <x:v>Quality Factor</x:v>
      </x:c>
      <x:c r="D161" s="12" t="str">
        <x:v>Academic / SSRN</x:v>
      </x:c>
      <x:c r="E161" s="12" t="str">
        <x:v>Academic / institutional research</x:v>
      </x:c>
      <x:c r="F161" s="12" t="str">
        <x:v>Research-summary</x:v>
      </x:c>
      <x:c r="G161" s="14" t="n">
        <x:v>0.84</x:v>
      </x:c>
      <x:c r="H161" s="12" t="str">
        <x:v>Equities</x:v>
      </x:c>
      <x:c r="I161" s="12" t="str">
        <x:v>US and global equities</x:v>
      </x:c>
      <x:c r="J161" s="12" t="str">
        <x:v>Long/Short</x:v>
      </x:c>
      <x:c r="K161" s="12" t="str">
        <x:v>Yes</x:v>
      </x:c>
      <x:c r="L161" s="12" t="str">
        <x:v>Yes</x:v>
      </x:c>
      <x:c r="M161" s="12" t="str">
        <x:v>Days-Months</x:v>
      </x:c>
      <x:c r="N161" s="12" t="str">
        <x:v>Daily/Monthly</x:v>
      </x:c>
      <x:c r="O161" s="12" t="str">
        <x:v>Long high quality: safe, profitable, growing, well-managed.</x:v>
      </x:c>
      <x:c r="P161" s="12" t="str">
        <x:v>Short low-quality/junk stocks.</x:v>
      </x:c>
      <x:c r="Q161" s="12" t="str">
        <x:v>Periodic fundamental rebalance.</x:v>
      </x:c>
      <x:c r="R161" s="12" t="str">
        <x:v>Quality composite components</x:v>
      </x:c>
      <x:c r="S161" s="12" t="str">
        <x:v>Prices plus asset-specific fundamentals/rates/options data</x:v>
      </x:c>
      <x:c r="T161" s="12" t="str">
        <x:v>Replicate using point-in-time inputs and source-defined formation/holding chronology.</x:v>
      </x:c>
      <x:c r="U161" s="12" t="str">
        <x:v>Published evidence still needs independent MQD reproduction; factor crowding and costs.</x:v>
      </x:c>
      <x:c r="V161" s="12" t="str">
        <x:v>Medium</x:v>
      </x:c>
      <x:c r="W161" s="12" t="str">
        <x:v>A</x:v>
      </x:c>
      <x:c r="X161" s="12" t="str">
        <x:v>https://papers.ssrn.com/sol3/papers.cfm?abstract_id=2312432</x:v>
      </x:c>
      <x:c r="Y161" s="12" t="str">
        <x:v>2026-10-07</x:v>
      </x:c>
      <x:c r="Z161" s="12" t="str">
        <x:v>Do not import reported performance as evidence.</x:v>
      </x:c>
    </x:row>
    <x:row r="162" ht="48" customHeight="1">
      <x:c r="A162" s="12" t="str">
        <x:v>EXT-161</x:v>
      </x:c>
      <x:c r="B162" s="12" t="str">
        <x:v>Cross-Asset Carry</x:v>
      </x:c>
      <x:c r="C162" s="12" t="str">
        <x:v>Carry</x:v>
      </x:c>
      <x:c r="D162" s="12" t="str">
        <x:v>AQR research</x:v>
      </x:c>
      <x:c r="E162" s="12" t="str">
        <x:v>Academic / institutional research</x:v>
      </x:c>
      <x:c r="F162" s="12" t="str">
        <x:v>Research-summary</x:v>
      </x:c>
      <x:c r="G162" s="14" t="n">
        <x:v>0.84</x:v>
      </x:c>
      <x:c r="H162" s="12" t="str">
        <x:v>Cross-Asset</x:v>
      </x:c>
      <x:c r="I162" s="12" t="str">
        <x:v>Global equities, bonds, FX, commodities, Treasuries, credit, equity-index options</x:v>
      </x:c>
      <x:c r="J162" s="12" t="str">
        <x:v>Long/Short</x:v>
      </x:c>
      <x:c r="K162" s="12" t="str">
        <x:v>Yes</x:v>
      </x:c>
      <x:c r="L162" s="12" t="str">
        <x:v>Yes</x:v>
      </x:c>
      <x:c r="M162" s="12" t="str">
        <x:v>Days-Months</x:v>
      </x:c>
      <x:c r="N162" s="12" t="str">
        <x:v>Daily/Monthly</x:v>
      </x:c>
      <x:c r="O162" s="12" t="str">
        <x:v>Long high-carry instruments.</x:v>
      </x:c>
      <x:c r="P162" s="12" t="str">
        <x:v>Short low-carry instruments.</x:v>
      </x:c>
      <x:c r="Q162" s="12" t="str">
        <x:v>Periodic rebalance; asset-specific carry definition.</x:v>
      </x:c>
      <x:c r="R162" s="12" t="str">
        <x:v>Carry measure per asset class</x:v>
      </x:c>
      <x:c r="S162" s="12" t="str">
        <x:v>Prices plus asset-specific fundamentals/rates/options data</x:v>
      </x:c>
      <x:c r="T162" s="12" t="str">
        <x:v>Replicate using point-in-time inputs and source-defined formation/holding chronology.</x:v>
      </x:c>
      <x:c r="U162" s="12" t="str">
        <x:v>Published evidence still needs independent MQD reproduction; factor crowding and costs.</x:v>
      </x:c>
      <x:c r="V162" s="12" t="str">
        <x:v>Medium</x:v>
      </x:c>
      <x:c r="W162" s="12" t="str">
        <x:v>A</x:v>
      </x:c>
      <x:c r="X162" s="12" t="str">
        <x:v>https://www.aqr.com/insights/research/journal-article/carry</x:v>
      </x:c>
      <x:c r="Y162" s="12" t="str">
        <x:v>2026-10-07</x:v>
      </x:c>
      <x:c r="Z162" s="12" t="str">
        <x:v>Do not import reported performance as evidence.</x:v>
      </x:c>
    </x:row>
    <x:row r="163" ht="48" customHeight="1">
      <x:c r="A163" s="12" t="str">
        <x:v>EXT-162</x:v>
      </x:c>
      <x:c r="B163" s="12" t="str">
        <x:v>Century Trend Following Replication</x:v>
      </x:c>
      <x:c r="C163" s="12" t="str">
        <x:v>Trend / Time-Series</x:v>
      </x:c>
      <x:c r="D163" s="12" t="str">
        <x:v>AQR research</x:v>
      </x:c>
      <x:c r="E163" s="12" t="str">
        <x:v>Academic / institutional research</x:v>
      </x:c>
      <x:c r="F163" s="12" t="str">
        <x:v>Research-summary</x:v>
      </x:c>
      <x:c r="G163" s="14" t="n">
        <x:v>0.94</x:v>
      </x:c>
      <x:c r="H163" s="12" t="str">
        <x:v>Cross-Asset</x:v>
      </x:c>
      <x:c r="I163" s="12" t="str">
        <x:v>Equity index, fixed income, commodities, currencies</x:v>
      </x:c>
      <x:c r="J163" s="12" t="str">
        <x:v>Long/Short</x:v>
      </x:c>
      <x:c r="K163" s="12" t="str">
        <x:v>Yes</x:v>
      </x:c>
      <x:c r="L163" s="12" t="str">
        <x:v>Yes</x:v>
      </x:c>
      <x:c r="M163" s="12" t="str">
        <x:v>Days-Months</x:v>
      </x:c>
      <x:c r="N163" s="12" t="str">
        <x:v>Daily/Monthly</x:v>
      </x:c>
      <x:c r="O163" s="12" t="str">
        <x:v>Long markets with recent positive trend.</x:v>
      </x:c>
      <x:c r="P163" s="12" t="str">
        <x:v>Short markets with recent negative trend.</x:v>
      </x:c>
      <x:c r="Q163" s="12" t="str">
        <x:v>Scheduled rebalance with risk normalization.</x:v>
      </x:c>
      <x:c r="R163" s="12" t="str">
        <x:v>Trend lookback(s); volatility target</x:v>
      </x:c>
      <x:c r="S163" s="12" t="str">
        <x:v>Prices plus asset-specific fundamentals/rates/options data</x:v>
      </x:c>
      <x:c r="T163" s="12" t="str">
        <x:v>Replicate using point-in-time inputs and source-defined formation/holding chronology.</x:v>
      </x:c>
      <x:c r="U163" s="12" t="str">
        <x:v>Published evidence still needs independent MQD reproduction; factor crowding and costs.</x:v>
      </x:c>
      <x:c r="V163" s="12" t="str">
        <x:v>High</x:v>
      </x:c>
      <x:c r="W163" s="12" t="str">
        <x:v>A</x:v>
      </x:c>
      <x:c r="X163" s="12" t="str">
        <x:v>https://www.aqr.com/insights/research/journal-article/a-century-of-evidence-on-trend-following-investing</x:v>
      </x:c>
      <x:c r="Y163" s="12" t="str">
        <x:v>2026-10-07</x:v>
      </x:c>
      <x:c r="Z163" s="12" t="str">
        <x:v>Do not import reported performance as evidence.</x:v>
      </x:c>
    </x:row>
    <x:row r="164" ht="48" customHeight="1">
      <x:c r="A164" s="12" t="str">
        <x:v>EXT-163</x:v>
      </x:c>
      <x:c r="B164" s="12" t="str">
        <x:v>PEAD: High vs Low Earnings Surprise</x:v>
      </x:c>
      <x:c r="C164" s="12" t="str">
        <x:v>Event / Earnings</x:v>
      </x:c>
      <x:c r="D164" s="12" t="str">
        <x:v>Academic / SSRN</x:v>
      </x:c>
      <x:c r="E164" s="12" t="str">
        <x:v>Academic / institutional research</x:v>
      </x:c>
      <x:c r="F164" s="12" t="str">
        <x:v>Research-summary</x:v>
      </x:c>
      <x:c r="G164" s="14" t="n">
        <x:v>0.94</x:v>
      </x:c>
      <x:c r="H164" s="12" t="str">
        <x:v>Equities</x:v>
      </x:c>
      <x:c r="I164" s="12" t="str">
        <x:v>Stocks with analyst earnings data</x:v>
      </x:c>
      <x:c r="J164" s="12" t="str">
        <x:v>Long/Short</x:v>
      </x:c>
      <x:c r="K164" s="12" t="str">
        <x:v>Yes</x:v>
      </x:c>
      <x:c r="L164" s="12" t="str">
        <x:v>Yes</x:v>
      </x:c>
      <x:c r="M164" s="12" t="str">
        <x:v>Days-Months</x:v>
      </x:c>
      <x:c r="N164" s="12" t="str">
        <x:v>Daily/Monthly</x:v>
      </x:c>
      <x:c r="O164" s="12" t="str">
        <x:v>Long high earnings-surprise stocks after public announcement.</x:v>
      </x:c>
      <x:c r="P164" s="12" t="str">
        <x:v>Short low earnings-surprise stocks.</x:v>
      </x:c>
      <x:c r="Q164" s="12" t="str">
        <x:v>Hold post-announcement window; test liquidity/cost filters.</x:v>
      </x:c>
      <x:c r="R164" s="12" t="str">
        <x:v>SUE; holding horizon; liquidity screen</x:v>
      </x:c>
      <x:c r="S164" s="12" t="str">
        <x:v>Prices plus asset-specific fundamentals/rates/options data</x:v>
      </x:c>
      <x:c r="T164" s="12" t="str">
        <x:v>Replicate using point-in-time inputs and source-defined formation/holding chronology.</x:v>
      </x:c>
      <x:c r="U164" s="12" t="str">
        <x:v>Published evidence still needs independent MQD reproduction; factor crowding and costs.</x:v>
      </x:c>
      <x:c r="V164" s="12" t="str">
        <x:v>High</x:v>
      </x:c>
      <x:c r="W164" s="12" t="str">
        <x:v>B</x:v>
      </x:c>
      <x:c r="X164" s="12" t="str">
        <x:v>https://papers.ssrn.com/sol3/papers.cfm?abstract_id=1444338</x:v>
      </x:c>
      <x:c r="Y164" s="12" t="str">
        <x:v>2026-10-07</x:v>
      </x:c>
      <x:c r="Z164" s="12" t="str">
        <x:v>Do not import reported performance as evidence.</x:v>
      </x:c>
    </x:row>
    <x:row r="165" ht="48" customHeight="1">
      <x:c r="A165" s="12" t="str">
        <x:v>EXT-164</x:v>
      </x:c>
      <x:c r="B165" s="12" t="str">
        <x:v>Conditional PEAD: Surprise vs Analyst Recommendation</x:v>
      </x:c>
      <x:c r="C165" s="12" t="str">
        <x:v>Event / Earnings</x:v>
      </x:c>
      <x:c r="D165" s="12" t="str">
        <x:v>Academic / SSRN</x:v>
      </x:c>
      <x:c r="E165" s="12" t="str">
        <x:v>Academic / institutional research</x:v>
      </x:c>
      <x:c r="F165" s="12" t="str">
        <x:v>Research-summary</x:v>
      </x:c>
      <x:c r="G165" s="14" t="n">
        <x:v>0.84</x:v>
      </x:c>
      <x:c r="H165" s="12" t="str">
        <x:v>Equities</x:v>
      </x:c>
      <x:c r="I165" s="12" t="str">
        <x:v>Stocks with recommendations + earnings surprises</x:v>
      </x:c>
      <x:c r="J165" s="12" t="str">
        <x:v>Long/Short</x:v>
      </x:c>
      <x:c r="K165" s="12" t="str">
        <x:v>Yes</x:v>
      </x:c>
      <x:c r="L165" s="12" t="str">
        <x:v>Yes</x:v>
      </x:c>
      <x:c r="M165" s="12" t="str">
        <x:v>Days-Months</x:v>
      </x:c>
      <x:c r="N165" s="12" t="str">
        <x:v>Daily/Monthly</x:v>
      </x:c>
      <x:c r="O165" s="12" t="str">
        <x:v>Long Sell-rated firms that subsequently report positive surprises.</x:v>
      </x:c>
      <x:c r="P165" s="12" t="str">
        <x:v>Short Buy-rated firms that report negative surprises.</x:v>
      </x:c>
      <x:c r="Q165" s="12" t="str">
        <x:v>Post-announcement holding window.</x:v>
      </x:c>
      <x:c r="R165" s="12" t="str">
        <x:v>Recommendation state; earnings surprise; holding horizon</x:v>
      </x:c>
      <x:c r="S165" s="12" t="str">
        <x:v>Prices plus asset-specific fundamentals/rates/options data</x:v>
      </x:c>
      <x:c r="T165" s="12" t="str">
        <x:v>Replicate using point-in-time inputs and source-defined formation/holding chronology.</x:v>
      </x:c>
      <x:c r="U165" s="12" t="str">
        <x:v>Published evidence still needs independent MQD reproduction; factor crowding and costs.</x:v>
      </x:c>
      <x:c r="V165" s="12" t="str">
        <x:v>Medium</x:v>
      </x:c>
      <x:c r="W165" s="12" t="str">
        <x:v>B</x:v>
      </x:c>
      <x:c r="X165" s="12" t="str">
        <x:v>https://papers.ssrn.com/sol3/papers.cfm?abstract_id=5311906</x:v>
      </x:c>
      <x:c r="Y165" s="12" t="str">
        <x:v>2026-10-07</x:v>
      </x:c>
      <x:c r="Z165" s="12" t="str">
        <x:v>Do not import reported performance as evidence.</x:v>
      </x:c>
    </x:row>
    <x:row r="166" ht="48" customHeight="1">
      <x:c r="A166" s="12" t="str">
        <x:v>EXT-165</x:v>
      </x:c>
      <x:c r="B166" s="12" t="str">
        <x:v>FQ1 Earnings-Persistence PEAD</x:v>
      </x:c>
      <x:c r="C166" s="12" t="str">
        <x:v>Event / Earnings</x:v>
      </x:c>
      <x:c r="D166" s="12" t="str">
        <x:v>Academic / SSRN</x:v>
      </x:c>
      <x:c r="E166" s="12" t="str">
        <x:v>Academic / institutional research</x:v>
      </x:c>
      <x:c r="F166" s="12" t="str">
        <x:v>Research-summary</x:v>
      </x:c>
      <x:c r="G166" s="14" t="n">
        <x:v>0.84</x:v>
      </x:c>
      <x:c r="H166" s="12" t="str">
        <x:v>Equities</x:v>
      </x:c>
      <x:c r="I166" s="12" t="str">
        <x:v>Stocks with fiscal-quarter earnings history</x:v>
      </x:c>
      <x:c r="J166" s="12" t="str">
        <x:v>Long/Short</x:v>
      </x:c>
      <x:c r="K166" s="12" t="str">
        <x:v>Yes</x:v>
      </x:c>
      <x:c r="L166" s="12" t="str">
        <x:v>Yes</x:v>
      </x:c>
      <x:c r="M166" s="12" t="str">
        <x:v>Days-Months</x:v>
      </x:c>
      <x:c r="N166" s="12" t="str">
        <x:v>Daily/Monthly</x:v>
      </x:c>
      <x:c r="O166" s="12" t="str">
        <x:v>Long positive FQ1 surprise cohort after announcement.</x:v>
      </x:c>
      <x:c r="P166" s="12" t="str">
        <x:v>Short negative FQ1 surprise cohort.</x:v>
      </x:c>
      <x:c r="Q166" s="12" t="str">
        <x:v>Post-announcement drift window.</x:v>
      </x:c>
      <x:c r="R166" s="12" t="str">
        <x:v>Fiscal-quarter mapping; surprise metric; holding horizon</x:v>
      </x:c>
      <x:c r="S166" s="12" t="str">
        <x:v>Prices plus asset-specific fundamentals/rates/options data</x:v>
      </x:c>
      <x:c r="T166" s="12" t="str">
        <x:v>Replicate using point-in-time inputs and source-defined formation/holding chronology.</x:v>
      </x:c>
      <x:c r="U166" s="12" t="str">
        <x:v>Published evidence still needs independent MQD reproduction; factor crowding and costs.</x:v>
      </x:c>
      <x:c r="V166" s="12" t="str">
        <x:v>Low</x:v>
      </x:c>
      <x:c r="W166" s="12" t="str">
        <x:v>B</x:v>
      </x:c>
      <x:c r="X166" s="12" t="str">
        <x:v>https://papers.ssrn.com/sol3/Delivery.cfm/7116238.pdf?abstractid=7116238&amp;mirid=1&amp;type=2</x:v>
      </x:c>
      <x:c r="Y166" s="12" t="str">
        <x:v>2026-10-07</x:v>
      </x:c>
      <x:c r="Z166" s="12" t="str">
        <x:v>Do not import reported performance as evidence.</x:v>
      </x:c>
    </x:row>
    <x:row r="167" ht="48" customHeight="1">
      <x:c r="A167" s="12" t="str">
        <x:v>EXT-166</x:v>
      </x:c>
      <x:c r="B167" s="12" t="str">
        <x:v>Global Value-Momentum-Trend: Trend Overlay</x:v>
      </x:c>
      <x:c r="C167" s="12" t="str">
        <x:v>Trend / Allocation</x:v>
      </x:c>
      <x:c r="D167" s="12" t="str">
        <x:v>Alpha Architect research</x:v>
      </x:c>
      <x:c r="E167" s="12" t="str">
        <x:v>Academic / institutional research</x:v>
      </x:c>
      <x:c r="F167" s="12" t="str">
        <x:v>Research-summary</x:v>
      </x:c>
      <x:c r="G167" s="14" t="n">
        <x:v>0.94</x:v>
      </x:c>
      <x:c r="H167" s="12" t="str">
        <x:v>Equities</x:v>
      </x:c>
      <x:c r="I167" s="12" t="str">
        <x:v>US + developed international equity portfolios</x:v>
      </x:c>
      <x:c r="J167" s="12" t="str">
        <x:v>Long/Hedge</x:v>
      </x:c>
      <x:c r="K167" s="12" t="str">
        <x:v>Yes</x:v>
      </x:c>
      <x:c r="L167" s="12" t="str">
        <x:v>Derived/hedge</x:v>
      </x:c>
      <x:c r="M167" s="12" t="str">
        <x:v>Days-Months</x:v>
      </x:c>
      <x:c r="N167" s="12" t="str">
        <x:v>Daily/Monthly</x:v>
      </x:c>
      <x:c r="O167" s="12" t="str">
        <x:v>Risk-on when 12m excess return &gt; T-bills and/or price &gt; 12m MA.</x:v>
      </x:c>
      <x:c r="P167" s="12" t="str">
        <x:v>Hedge/short passive index when trend rules fail; source combines 50% TMOM + 50% MA.</x:v>
      </x:c>
      <x:c r="Q167" s="12" t="str">
        <x:v>Monthly-style trend rebalance.</x:v>
      </x:c>
      <x:c r="R167" s="12" t="str">
        <x:v>12m excess return; 12m MA; 50/50 combination</x:v>
      </x:c>
      <x:c r="S167" s="12" t="str">
        <x:v>Prices plus asset-specific fundamentals/rates/options data</x:v>
      </x:c>
      <x:c r="T167" s="12" t="str">
        <x:v>Replicate using point-in-time inputs and source-defined formation/holding chronology.</x:v>
      </x:c>
      <x:c r="U167" s="12" t="str">
        <x:v>Published evidence still needs independent MQD reproduction; factor crowding and costs.</x:v>
      </x:c>
      <x:c r="V167" s="12" t="str">
        <x:v>High</x:v>
      </x:c>
      <x:c r="W167" s="12" t="str">
        <x:v>A</x:v>
      </x:c>
      <x:c r="X167" s="12" t="str">
        <x:v>https://alphaarchitect.com/the-value-momentum-trend-philosophy/</x:v>
      </x:c>
      <x:c r="Y167" s="12" t="str">
        <x:v>2026-10-07</x:v>
      </x:c>
      <x:c r="Z167" s="12" t="str">
        <x:v>Do not import reported performance as evidence.</x:v>
      </x:c>
    </x:row>
    <x:row r="168" ht="48" customHeight="1">
      <x:c r="A168" s="12" t="str">
        <x:v>EXT-167</x:v>
      </x:c>
      <x:c r="B168" s="12" t="str">
        <x:v>Global Value-Momentum-Trend: Quant Value + Momentum Selection</x:v>
      </x:c>
      <x:c r="C168" s="12" t="str">
        <x:v>Factor / Multi-Factor</x:v>
      </x:c>
      <x:c r="D168" s="12" t="str">
        <x:v>Alpha Architect research</x:v>
      </x:c>
      <x:c r="E168" s="12" t="str">
        <x:v>Academic / institutional research</x:v>
      </x:c>
      <x:c r="F168" s="12" t="str">
        <x:v>Research-summary</x:v>
      </x:c>
      <x:c r="G168" s="14" t="n">
        <x:v>0.84</x:v>
      </x:c>
      <x:c r="H168" s="12" t="str">
        <x:v>Equities</x:v>
      </x:c>
      <x:c r="I168" s="12" t="str">
        <x:v>Large liquid US + developed international stocks</x:v>
      </x:c>
      <x:c r="J168" s="12" t="str">
        <x:v>Long source; short mirror test</x:v>
      </x:c>
      <x:c r="K168" s="12" t="str">
        <x:v>Yes</x:v>
      </x:c>
      <x:c r="L168" s="12" t="str">
        <x:v>Derived/hedge</x:v>
      </x:c>
      <x:c r="M168" s="12" t="str">
        <x:v>Days-Months</x:v>
      </x:c>
      <x:c r="N168" s="12" t="str">
        <x:v>Daily/Monthly</x:v>
      </x:c>
      <x:c r="O168" s="12" t="str">
        <x:v>Value: cheap high-quality stocks; Momentum: strongest high-quality momentum stocks.</x:v>
      </x:c>
      <x:c r="P168" s="12" t="str">
        <x:v>Derived factor-spread short: expensive/weak-momentum low-quality names as separate candidates.</x:v>
      </x:c>
      <x:c r="Q168" s="12" t="str">
        <x:v>Periodic selection; source includes global/risk weighting.</x:v>
      </x:c>
      <x:c r="R168" s="12" t="str">
        <x:v>Operating earnings/price; quality; momentum; momentum quality</x:v>
      </x:c>
      <x:c r="S168" s="12" t="str">
        <x:v>Prices plus asset-specific fundamentals/rates/options data</x:v>
      </x:c>
      <x:c r="T168" s="12" t="str">
        <x:v>Replicate using point-in-time inputs and source-defined formation/holding chronology.</x:v>
      </x:c>
      <x:c r="U168" s="12" t="str">
        <x:v>Published evidence still needs independent MQD reproduction; factor crowding and costs.</x:v>
      </x:c>
      <x:c r="V168" s="12" t="str">
        <x:v>Medium</x:v>
      </x:c>
      <x:c r="W168" s="12" t="str">
        <x:v>B</x:v>
      </x:c>
      <x:c r="X168" s="12" t="str">
        <x:v>https://alphaarchitect.com/the-value-momentum-trend-philosophy/</x:v>
      </x:c>
      <x:c r="Y168" s="12" t="str">
        <x:v>2026-10-07</x:v>
      </x:c>
      <x:c r="Z168" s="12" t="str">
        <x:v>Do not import reported performance as evidence.</x:v>
      </x:c>
    </x:row>
    <x:row r="169" ht="48" customHeight="1">
      <x:c r="A169" s="12" t="str">
        <x:v>EXT-168</x:v>
      </x:c>
      <x:c r="B169" s="12" t="str">
        <x:v>10/15/20-Year Directional Seasonality &gt;70%</x:v>
      </x:c>
      <x:c r="C169" s="12" t="str">
        <x:v>Seasonality / Statistical Calendar</x:v>
      </x:c>
      <x:c r="D169" s="12" t="str">
        <x:v>Interactive Brokers Campus</x:v>
      </x:c>
      <x:c r="E169" s="12" t="str">
        <x:v>Broker education / research</x:v>
      </x:c>
      <x:c r="F169" s="12" t="str">
        <x:v>Public methodology summary</x:v>
      </x:c>
      <x:c r="G169" s="14" t="n">
        <x:v>0.88</x:v>
      </x:c>
      <x:c r="H169" s="12" t="str">
        <x:v>Equities/Indices</x:v>
      </x:c>
      <x:c r="I169" s="12" t="str">
        <x:v>Large seasoned stocks and major indices</x:v>
      </x:c>
      <x:c r="J169" s="12" t="str">
        <x:v>Both</x:v>
      </x:c>
      <x:c r="K169" s="12" t="str">
        <x:v>Yes</x:v>
      </x:c>
      <x:c r="L169" s="12" t="str">
        <x:v>Yes</x:v>
      </x:c>
      <x:c r="M169" s="12" t="str">
        <x:v>Intraday-Months</x:v>
      </x:c>
      <x:c r="N169" s="12" t="str">
        <x:v>Daily/Monthly</x:v>
      </x:c>
      <x:c r="O169" s="12" t="str">
        <x:v>Long only on calendar dates with &gt;70% positive historical direction in each 10y, 15y, and 20y windows.</x:v>
      </x:c>
      <x:c r="P169" s="12" t="str">
        <x:v>Short only on dates with &gt;70% negative direction in all three windows.</x:v>
      </x:c>
      <x:c r="Q169" s="12" t="str">
        <x:v>One-day / source timing rules; historical-average target and stop framework.</x:v>
      </x:c>
      <x:c r="R169" s="12" t="str">
        <x:v>10/15/20y hit rates; &gt;70% each</x:v>
      </x:c>
      <x:c r="S169" s="12" t="str">
        <x:v>Prices; calendar; pair/rate data as applicable</x:v>
      </x:c>
      <x:c r="T169" s="12" t="str">
        <x:v>Independent reproduction required; source examples are not broker endorsement of profitability.</x:v>
      </x:c>
      <x:c r="U169" s="12" t="str">
        <x:v>Seasonality/pairs can be overfit; transaction costs and shortability matter.</x:v>
      </x:c>
      <x:c r="V169" s="12" t="str">
        <x:v>Medium</x:v>
      </x:c>
      <x:c r="W169" s="12" t="str">
        <x:v>B</x:v>
      </x:c>
      <x:c r="X169" s="12" t="str">
        <x:v>https://www.interactivebrokers.com/campus/traders-insight/seasonality-trading-a-statistical-strategy-for-stocks-and-indices/</x:v>
      </x:c>
      <x:c r="Y169" s="12" t="str">
        <x:v>2026-10-07</x:v>
      </x:c>
      <x:c r="Z169" s="12" t="str">
        <x:v>Use only as hypothesis source.</x:v>
      </x:c>
    </x:row>
    <x:row r="170" ht="48" customHeight="1">
      <x:c r="A170" s="12" t="str">
        <x:v>EXT-169</x:v>
      </x:c>
      <x:c r="B170" s="12" t="str">
        <x:v>Santa Claus Rally Window</x:v>
      </x:c>
      <x:c r="C170" s="12" t="str">
        <x:v>Seasonality</x:v>
      </x:c>
      <x:c r="D170" s="12" t="str">
        <x:v>IBKR/QuantInsti</x:v>
      </x:c>
      <x:c r="E170" s="12" t="str">
        <x:v>Broker education / research</x:v>
      </x:c>
      <x:c r="F170" s="12" t="str">
        <x:v>Public methodology summary</x:v>
      </x:c>
      <x:c r="G170" s="14" t="n">
        <x:v>0.88</x:v>
      </x:c>
      <x:c r="H170" s="12" t="str">
        <x:v>Equities/Indices</x:v>
      </x:c>
      <x:c r="I170" s="12" t="str">
        <x:v>Broad equity indices/ETFs</x:v>
      </x:c>
      <x:c r="J170" s="12" t="str">
        <x:v>Long source; short control</x:v>
      </x:c>
      <x:c r="K170" s="12" t="str">
        <x:v>Yes</x:v>
      </x:c>
      <x:c r="L170" s="12" t="str">
        <x:v>Derived</x:v>
      </x:c>
      <x:c r="M170" s="12" t="str">
        <x:v>Intraday-Months</x:v>
      </x:c>
      <x:c r="N170" s="12" t="str">
        <x:v>Daily/Monthly</x:v>
      </x:c>
      <x:c r="O170" s="12" t="str">
        <x:v>Long last 5 trading days of December + first 2 trading days of January.</x:v>
      </x:c>
      <x:c r="P170" s="12" t="str">
        <x:v>Derived short same window as falsification control.</x:v>
      </x:c>
      <x:c r="Q170" s="12" t="str">
        <x:v>Exit after first two trading days of January.</x:v>
      </x:c>
      <x:c r="R170" s="12" t="str">
        <x:v>Exchange calendar</x:v>
      </x:c>
      <x:c r="S170" s="12" t="str">
        <x:v>Prices; calendar; pair/rate data as applicable</x:v>
      </x:c>
      <x:c r="T170" s="12" t="str">
        <x:v>Independent reproduction required; source examples are not broker endorsement of profitability.</x:v>
      </x:c>
      <x:c r="U170" s="12" t="str">
        <x:v>Seasonality/pairs can be overfit; transaction costs and shortability matter.</x:v>
      </x:c>
      <x:c r="V170" s="12" t="str">
        <x:v>Medium</x:v>
      </x:c>
      <x:c r="W170" s="12" t="str">
        <x:v>B</x:v>
      </x:c>
      <x:c r="X170" s="12" t="str">
        <x:v>https://www.interactivebrokers.com/campus/ibkr-quant-news/seasonality-trading-a-beginners-guide-part-i/</x:v>
      </x:c>
      <x:c r="Y170" s="12" t="str">
        <x:v>2026-10-07</x:v>
      </x:c>
      <x:c r="Z170" s="12" t="str">
        <x:v>Use only as hypothesis source.</x:v>
      </x:c>
    </x:row>
    <x:row r="171" ht="48" customHeight="1">
      <x:c r="A171" s="12" t="str">
        <x:v>EXT-170</x:v>
      </x:c>
      <x:c r="B171" s="12" t="str">
        <x:v>Sell-in-May Seasonal Regime</x:v>
      </x:c>
      <x:c r="C171" s="12" t="str">
        <x:v>Seasonality</x:v>
      </x:c>
      <x:c r="D171" s="12" t="str">
        <x:v>IBKR/QuantInsti</x:v>
      </x:c>
      <x:c r="E171" s="12" t="str">
        <x:v>Broker education / research</x:v>
      </x:c>
      <x:c r="F171" s="12" t="str">
        <x:v>Public methodology summary</x:v>
      </x:c>
      <x:c r="G171" s="14" t="n">
        <x:v>0.88</x:v>
      </x:c>
      <x:c r="H171" s="12" t="str">
        <x:v>Equities/Indices</x:v>
      </x:c>
      <x:c r="I171" s="12" t="str">
        <x:v>Broad equity index</x:v>
      </x:c>
      <x:c r="J171" s="12" t="str">
        <x:v>Long/Cash; short derived</x:v>
      </x:c>
      <x:c r="K171" s="12" t="str">
        <x:v>Yes</x:v>
      </x:c>
      <x:c r="L171" s="12" t="str">
        <x:v>Derived</x:v>
      </x:c>
      <x:c r="M171" s="12" t="str">
        <x:v>Intraday-Months</x:v>
      </x:c>
      <x:c r="N171" s="12" t="str">
        <x:v>Daily/Monthly</x:v>
      </x:c>
      <x:c r="O171" s="12" t="str">
        <x:v>Long/hold equity during historically stronger November-April regime.</x:v>
      </x:c>
      <x:c r="P171" s="12" t="str">
        <x:v>Derived short/hedge May-October; source commonly says exit/stay out.</x:v>
      </x:c>
      <x:c r="Q171" s="12" t="str">
        <x:v>Regime switch May/November.</x:v>
      </x:c>
      <x:c r="R171" s="12" t="str">
        <x:v>Calendar months</x:v>
      </x:c>
      <x:c r="S171" s="12" t="str">
        <x:v>Prices; calendar; pair/rate data as applicable</x:v>
      </x:c>
      <x:c r="T171" s="12" t="str">
        <x:v>Independent reproduction required; source examples are not broker endorsement of profitability.</x:v>
      </x:c>
      <x:c r="U171" s="12" t="str">
        <x:v>Seasonality/pairs can be overfit; transaction costs and shortability matter.</x:v>
      </x:c>
      <x:c r="V171" s="12" t="str">
        <x:v>Medium</x:v>
      </x:c>
      <x:c r="W171" s="12" t="str">
        <x:v>B</x:v>
      </x:c>
      <x:c r="X171" s="12" t="str">
        <x:v>https://www.interactivebrokers.com/campus/ibkr-quant-news/seasonality-trading-a-beginners-guide-part-i/</x:v>
      </x:c>
      <x:c r="Y171" s="12" t="str">
        <x:v>2026-10-07</x:v>
      </x:c>
      <x:c r="Z171" s="12" t="str">
        <x:v>Use only as hypothesis source.</x:v>
      </x:c>
    </x:row>
    <x:row r="172" ht="48" customHeight="1">
      <x:c r="A172" s="12" t="str">
        <x:v>EXT-171</x:v>
      </x:c>
      <x:c r="B172" s="12" t="str">
        <x:v>Correlation + Cointegration Z-Score Pairs</x:v>
      </x:c>
      <x:c r="C172" s="12" t="str">
        <x:v>Stat Arb / Pairs</x:v>
      </x:c>
      <x:c r="D172" s="12" t="str">
        <x:v>QuantInsti</x:v>
      </x:c>
      <x:c r="E172" s="12" t="str">
        <x:v>Broker education / research</x:v>
      </x:c>
      <x:c r="F172" s="12" t="str">
        <x:v>Public methodology summary</x:v>
      </x:c>
      <x:c r="G172" s="14" t="n">
        <x:v>0.88</x:v>
      </x:c>
      <x:c r="H172" s="12" t="str">
        <x:v>Equities/Multi-Asset</x:v>
      </x:c>
      <x:c r="I172" s="12" t="str">
        <x:v>Correlated, cointegrated pairs</x:v>
      </x:c>
      <x:c r="J172" s="12" t="str">
        <x:v>Market-neutral</x:v>
      </x:c>
      <x:c r="K172" s="12" t="str">
        <x:v>Yes</x:v>
      </x:c>
      <x:c r="L172" s="12" t="str">
        <x:v>Yes</x:v>
      </x:c>
      <x:c r="M172" s="12" t="str">
        <x:v>Intraday-Months</x:v>
      </x:c>
      <x:c r="N172" s="12" t="str">
        <x:v>Daily/Monthly</x:v>
      </x:c>
      <x:c r="O172" s="12" t="str">
        <x:v>When spread/ratio z-score is sufficiently negative, long underperformer and short counterpart.</x:v>
      </x:c>
      <x:c r="P172" s="12" t="str">
        <x:v>When z-score sufficiently positive, short outperformer and long counterpart.</x:v>
      </x:c>
      <x:c r="Q172" s="12" t="str">
        <x:v>Exit near mean / z-score zero; stop on further divergence.</x:v>
      </x:c>
      <x:c r="R172" s="12" t="str">
        <x:v>Formation window; cointegration test; hedge ratio; z-entry/exit</x:v>
      </x:c>
      <x:c r="S172" s="12" t="str">
        <x:v>Prices; calendar; pair/rate data as applicable</x:v>
      </x:c>
      <x:c r="T172" s="12" t="str">
        <x:v>Independent reproduction required; source examples are not broker endorsement of profitability.</x:v>
      </x:c>
      <x:c r="U172" s="12" t="str">
        <x:v>Seasonality/pairs can be overfit; transaction costs and shortability matter.</x:v>
      </x:c>
      <x:c r="V172" s="12" t="str">
        <x:v>High</x:v>
      </x:c>
      <x:c r="W172" s="12" t="str">
        <x:v>A</x:v>
      </x:c>
      <x:c r="X172" s="12" t="str">
        <x:v>https://quantra.quantinsti.com/glossary/Pairs-Trading</x:v>
      </x:c>
      <x:c r="Y172" s="12" t="str">
        <x:v>2026-10-07</x:v>
      </x:c>
      <x:c r="Z172" s="12" t="str">
        <x:v>Use only as hypothesis source.</x:v>
      </x:c>
    </x:row>
    <x:row r="173" ht="48" customHeight="1">
      <x:c r="A173" s="12" t="str">
        <x:v>EXT-172</x:v>
      </x:c>
      <x:c r="B173" s="12" t="str">
        <x:v>Kalman-Filter Dynamic Hedge-Ratio Pairs</x:v>
      </x:c>
      <x:c r="C173" s="12" t="str">
        <x:v>Stat Arb / Pairs</x:v>
      </x:c>
      <x:c r="D173" s="12" t="str">
        <x:v>QuantInsti</x:v>
      </x:c>
      <x:c r="E173" s="12" t="str">
        <x:v>Broker education / research</x:v>
      </x:c>
      <x:c r="F173" s="12" t="str">
        <x:v>Public methodology summary</x:v>
      </x:c>
      <x:c r="G173" s="14" t="n">
        <x:v>0.88</x:v>
      </x:c>
      <x:c r="H173" s="12" t="str">
        <x:v>Equities/Multi-Asset</x:v>
      </x:c>
      <x:c r="I173" s="12" t="str">
        <x:v>Pairs with time-varying relationship</x:v>
      </x:c>
      <x:c r="J173" s="12" t="str">
        <x:v>Market-neutral</x:v>
      </x:c>
      <x:c r="K173" s="12" t="str">
        <x:v>Yes</x:v>
      </x:c>
      <x:c r="L173" s="12" t="str">
        <x:v>Yes</x:v>
      </x:c>
      <x:c r="M173" s="12" t="str">
        <x:v>Intraday-Months</x:v>
      </x:c>
      <x:c r="N173" s="12" t="str">
        <x:v>Daily/Monthly</x:v>
      </x:c>
      <x:c r="O173" s="12" t="str">
        <x:v>Use Kalman-estimated hedge ratio; long negative residual extreme.</x:v>
      </x:c>
      <x:c r="P173" s="12" t="str">
        <x:v>Short positive residual extreme.</x:v>
      </x:c>
      <x:c r="Q173" s="12" t="str">
        <x:v>Exit on filtered residual convergence.</x:v>
      </x:c>
      <x:c r="R173" s="12" t="str">
        <x:v>Kalman process/measurement noise; z-score</x:v>
      </x:c>
      <x:c r="S173" s="12" t="str">
        <x:v>Prices; calendar; pair/rate data as applicable</x:v>
      </x:c>
      <x:c r="T173" s="12" t="str">
        <x:v>Independent reproduction required; source examples are not broker endorsement of profitability.</x:v>
      </x:c>
      <x:c r="U173" s="12" t="str">
        <x:v>Seasonality/pairs can be overfit; transaction costs and shortability matter.</x:v>
      </x:c>
      <x:c r="V173" s="12" t="str">
        <x:v>High</x:v>
      </x:c>
      <x:c r="W173" s="12" t="str">
        <x:v>A</x:v>
      </x:c>
      <x:c r="X173" s="12" t="str">
        <x:v>https://blog.quantinsti.com/implementing-pairs-trading-using-kalman-filter/</x:v>
      </x:c>
      <x:c r="Y173" s="12" t="str">
        <x:v>2026-10-07</x:v>
      </x:c>
      <x:c r="Z173" s="12" t="str">
        <x:v>Use only as hypothesis source.</x:v>
      </x:c>
    </x:row>
    <x:row r="174" ht="48" customHeight="1">
      <x:c r="A174" s="12" t="str">
        <x:v>EXT-173</x:v>
      </x:c>
      <x:c r="B174" s="12" t="str">
        <x:v>Robust Multi-Asset Trend Following Framework</x:v>
      </x:c>
      <x:c r="C174" s="12" t="str">
        <x:v>Trend / Time-Series</x:v>
      </x:c>
      <x:c r="D174" s="12" t="str">
        <x:v>IBKR Campus</x:v>
      </x:c>
      <x:c r="E174" s="12" t="str">
        <x:v>Broker education / research</x:v>
      </x:c>
      <x:c r="F174" s="12" t="str">
        <x:v>Public methodology summary</x:v>
      </x:c>
      <x:c r="G174" s="14" t="n">
        <x:v>0.88</x:v>
      </x:c>
      <x:c r="H174" s="12" t="str">
        <x:v>Cross-Asset</x:v>
      </x:c>
      <x:c r="I174" s="12" t="str">
        <x:v>Multi-asset liquid markets</x:v>
      </x:c>
      <x:c r="J174" s="12" t="str">
        <x:v>Both</x:v>
      </x:c>
      <x:c r="K174" s="12" t="str">
        <x:v>Yes</x:v>
      </x:c>
      <x:c r="L174" s="12" t="str">
        <x:v>Yes</x:v>
      </x:c>
      <x:c r="M174" s="12" t="str">
        <x:v>Intraday-Months</x:v>
      </x:c>
      <x:c r="N174" s="12" t="str">
        <x:v>Daily/Monthly</x:v>
      </x:c>
      <x:c r="O174" s="12" t="str">
        <x:v>Long instruments with positive clean trend signal; size by risk.</x:v>
      </x:c>
      <x:c r="P174" s="12" t="str">
        <x:v>Short instruments with negative trend signal.</x:v>
      </x:c>
      <x:c r="Q174" s="12" t="str">
        <x:v>Signal reversal / scheduled rebalance.</x:v>
      </x:c>
      <x:c r="R174" s="12" t="str">
        <x:v>Trend estimator; horizons; cost-aware rebalance; vol target</x:v>
      </x:c>
      <x:c r="S174" s="12" t="str">
        <x:v>Prices; calendar; pair/rate data as applicable</x:v>
      </x:c>
      <x:c r="T174" s="12" t="str">
        <x:v>Independent reproduction required; source examples are not broker endorsement of profitability.</x:v>
      </x:c>
      <x:c r="U174" s="12" t="str">
        <x:v>Seasonality/pairs can be overfit; transaction costs and shortability matter.</x:v>
      </x:c>
      <x:c r="V174" s="12" t="str">
        <x:v>High</x:v>
      </x:c>
      <x:c r="W174" s="12" t="str">
        <x:v>A</x:v>
      </x:c>
      <x:c r="X174" s="12" t="str">
        <x:v>https://www.interactivebrokers.com/campus/ibkr-quant-news/designing-robust-trend-following-system/</x:v>
      </x:c>
      <x:c r="Y174" s="12" t="str">
        <x:v>2026-10-07</x:v>
      </x:c>
      <x:c r="Z174" s="12" t="str">
        <x:v>Use only as hypothesis source.</x:v>
      </x:c>
    </x:row>
    <x:row r="175" ht="48" customHeight="1">
      <x:c r="A175" s="12" t="str">
        <x:v>EXT-174</x:v>
      </x:c>
      <x:c r="B175" s="12" t="str">
        <x:v>Seasonality as Trade Filter</x:v>
      </x:c>
      <x:c r="C175" s="12" t="str">
        <x:v>Seasonality / Overlay</x:v>
      </x:c>
      <x:c r="D175" s="12" t="str">
        <x:v>Interactive Brokers Campus</x:v>
      </x:c>
      <x:c r="E175" s="12" t="str">
        <x:v>Broker education / research</x:v>
      </x:c>
      <x:c r="F175" s="12" t="str">
        <x:v>Public methodology summary</x:v>
      </x:c>
      <x:c r="G175" s="14" t="n">
        <x:v>0.88</x:v>
      </x:c>
      <x:c r="H175" s="12" t="str">
        <x:v>Multi-Asset</x:v>
      </x:c>
      <x:c r="I175" s="12" t="str">
        <x:v>Any strategy with calendar data</x:v>
      </x:c>
      <x:c r="J175" s="12" t="str">
        <x:v>Both filter</x:v>
      </x:c>
      <x:c r="K175" s="12" t="str">
        <x:v>Yes</x:v>
      </x:c>
      <x:c r="L175" s="12" t="str">
        <x:v>Yes</x:v>
      </x:c>
      <x:c r="M175" s="12" t="str">
        <x:v>Intraday-Months</x:v>
      </x:c>
      <x:c r="N175" s="12" t="str">
        <x:v>Daily/Monthly</x:v>
      </x:c>
      <x:c r="O175" s="12" t="str">
        <x:v>Permit long trades only when seasonal context is positive.</x:v>
      </x:c>
      <x:c r="P175" s="12" t="str">
        <x:v>Permit short trades only when seasonal context is negative.</x:v>
      </x:c>
      <x:c r="Q175" s="12" t="str">
        <x:v>Underlying strategy exit.</x:v>
      </x:c>
      <x:c r="R175" s="12" t="str">
        <x:v>Seasonal window; hit rate</x:v>
      </x:c>
      <x:c r="S175" s="12" t="str">
        <x:v>Prices; calendar; pair/rate data as applicable</x:v>
      </x:c>
      <x:c r="T175" s="12" t="str">
        <x:v>Independent reproduction required; source examples are not broker endorsement of profitability.</x:v>
      </x:c>
      <x:c r="U175" s="12" t="str">
        <x:v>Seasonality/pairs can be overfit; transaction costs and shortability matter.</x:v>
      </x:c>
      <x:c r="V175" s="12" t="str">
        <x:v>Medium</x:v>
      </x:c>
      <x:c r="W175" s="12" t="str">
        <x:v>B</x:v>
      </x:c>
      <x:c r="X175" s="12" t="str">
        <x:v>https://www.interactivebrokers.com/campus/traders-insight/securities/stocks/the-5-ways-to-use-seasonality-when-investing/</x:v>
      </x:c>
      <x:c r="Y175" s="12" t="str">
        <x:v>2026-10-07</x:v>
      </x:c>
      <x:c r="Z175" s="12" t="str">
        <x:v>Use only as hypothesis source.</x:v>
      </x:c>
    </x:row>
    <x:row r="176" ht="48" customHeight="1">
      <x:c r="A176" s="12" t="str">
        <x:v>EXT-175</x:v>
      </x:c>
      <x:c r="B176" s="12" t="str">
        <x:v>Monthly Seasonal Selection Rotation</x:v>
      </x:c>
      <x:c r="C176" s="12" t="str">
        <x:v>Seasonality / Rotation</x:v>
      </x:c>
      <x:c r="D176" s="12" t="str">
        <x:v>Interactive Brokers Campus</x:v>
      </x:c>
      <x:c r="E176" s="12" t="str">
        <x:v>Broker education / research</x:v>
      </x:c>
      <x:c r="F176" s="12" t="str">
        <x:v>Public methodology summary</x:v>
      </x:c>
      <x:c r="G176" s="14" t="n">
        <x:v>0.88</x:v>
      </x:c>
      <x:c r="H176" s="12" t="str">
        <x:v>Multi-Asset</x:v>
      </x:c>
      <x:c r="I176" s="12" t="str">
        <x:v>Stocks/commodities with seasonal histories</x:v>
      </x:c>
      <x:c r="J176" s="12" t="str">
        <x:v>Long rotation; short derived</x:v>
      </x:c>
      <x:c r="K176" s="12" t="str">
        <x:v>Yes</x:v>
      </x:c>
      <x:c r="L176" s="12" t="str">
        <x:v>Derived</x:v>
      </x:c>
      <x:c r="M176" s="12" t="str">
        <x:v>Intraday-Months</x:v>
      </x:c>
      <x:c r="N176" s="12" t="str">
        <x:v>Daily/Monthly</x:v>
      </x:c>
      <x:c r="O176" s="12" t="str">
        <x:v>Each month long instruments with strongest positive upcoming seasonal window.</x:v>
      </x:c>
      <x:c r="P176" s="12" t="str">
        <x:v>Derived: short strongest negative seasonal windows.</x:v>
      </x:c>
      <x:c r="Q176" s="12" t="str">
        <x:v>Re-screen/rebalance monthly.</x:v>
      </x:c>
      <x:c r="R176" s="12" t="str">
        <x:v>Seasonal score; history length</x:v>
      </x:c>
      <x:c r="S176" s="12" t="str">
        <x:v>Prices; calendar; pair/rate data as applicable</x:v>
      </x:c>
      <x:c r="T176" s="12" t="str">
        <x:v>Independent reproduction required; source examples are not broker endorsement of profitability.</x:v>
      </x:c>
      <x:c r="U176" s="12" t="str">
        <x:v>Seasonality/pairs can be overfit; transaction costs and shortability matter.</x:v>
      </x:c>
      <x:c r="V176" s="12" t="str">
        <x:v>Medium</x:v>
      </x:c>
      <x:c r="W176" s="12" t="str">
        <x:v>B</x:v>
      </x:c>
      <x:c r="X176" s="12" t="str">
        <x:v>https://www.interactivebrokers.com/campus/traders-insight/securities/stocks/the-5-ways-to-use-seasonality-when-investing/</x:v>
      </x:c>
      <x:c r="Y176" s="12" t="str">
        <x:v>2026-10-07</x:v>
      </x:c>
      <x:c r="Z176" s="12" t="str">
        <x:v>Use only as hypothesis source.</x:v>
      </x:c>
    </x:row>
    <x:row r="177" ht="48" customHeight="1">
      <x:c r="A177" s="12" t="str">
        <x:v>EXT-176</x:v>
      </x:c>
      <x:c r="B177" s="12" t="str">
        <x:v>Daily Calendar Seasonality with Entry Timing</x:v>
      </x:c>
      <x:c r="C177" s="12" t="str">
        <x:v>Seasonality / Intraday Timing</x:v>
      </x:c>
      <x:c r="D177" s="12" t="str">
        <x:v>Interactive Brokers Campus</x:v>
      </x:c>
      <x:c r="E177" s="12" t="str">
        <x:v>Broker education / research</x:v>
      </x:c>
      <x:c r="F177" s="12" t="str">
        <x:v>Public methodology summary</x:v>
      </x:c>
      <x:c r="G177" s="14" t="n">
        <x:v>0.88</x:v>
      </x:c>
      <x:c r="H177" s="12" t="str">
        <x:v>Equities/Indices</x:v>
      </x:c>
      <x:c r="I177" s="12" t="str">
        <x:v>Large liquid stocks and indices</x:v>
      </x:c>
      <x:c r="J177" s="12" t="str">
        <x:v>Both</x:v>
      </x:c>
      <x:c r="K177" s="12" t="str">
        <x:v>Yes</x:v>
      </x:c>
      <x:c r="L177" s="12" t="str">
        <x:v>Yes</x:v>
      </x:c>
      <x:c r="M177" s="12" t="str">
        <x:v>Intraday-Months</x:v>
      </x:c>
      <x:c r="N177" s="12" t="str">
        <x:v>Daily/Monthly</x:v>
      </x:c>
      <x:c r="O177" s="12" t="str">
        <x:v>For bullish date: if prior day closes red, enter near prior close; else buy opening dip.</x:v>
      </x:c>
      <x:c r="P177" s="12" t="str">
        <x:v>For bearish date: mirror the prior-close/opening-rally logic.</x:v>
      </x:c>
      <x:c r="Q177" s="12" t="str">
        <x:v>Historical-average target/stop or end-of-day; must formalize.</x:v>
      </x:c>
      <x:c r="R177" s="12" t="str">
        <x:v>Directional hit-rate; prior-day sign; intraday dip/rally</x:v>
      </x:c>
      <x:c r="S177" s="12" t="str">
        <x:v>Prices; calendar; pair/rate data as applicable</x:v>
      </x:c>
      <x:c r="T177" s="12" t="str">
        <x:v>Independent reproduction required; source examples are not broker endorsement of profitability.</x:v>
      </x:c>
      <x:c r="U177" s="12" t="str">
        <x:v>Seasonality/pairs can be overfit; transaction costs and shortability matter.</x:v>
      </x:c>
      <x:c r="V177" s="12" t="str">
        <x:v>Medium</x:v>
      </x:c>
      <x:c r="W177" s="12" t="str">
        <x:v>B</x:v>
      </x:c>
      <x:c r="X177" s="12" t="str">
        <x:v>https://www.interactivebrokers.com/campus/traders-insight/seasonality-trading-a-statistical-strategy-for-stocks-and-indices/</x:v>
      </x:c>
      <x:c r="Y177" s="12" t="str">
        <x:v>2026-10-07</x:v>
      </x:c>
      <x:c r="Z177" s="12" t="str">
        <x:v>Use only as hypothesis source.</x:v>
      </x:c>
    </x:row>
    <x:row r="178" ht="48" customHeight="1">
      <x:c r="A178" s="12" t="str">
        <x:v>EXT-177</x:v>
      </x:c>
      <x:c r="B178" s="12" t="str">
        <x:v>Simple Moving-Average Cross</x:v>
      </x:c>
      <x:c r="C178" s="12" t="str">
        <x:v>Trend / MA</x:v>
      </x:c>
      <x:c r="D178" s="12" t="str">
        <x:v>Reddit community</x:v>
      </x:c>
      <x:c r="E178" s="12" t="str">
        <x:v>Community discussion</x:v>
      </x:c>
      <x:c r="F178" s="12" t="str">
        <x:v>Hypothesis only</x:v>
      </x:c>
      <x:c r="G178" s="14" t="n">
        <x:v>0.6</x:v>
      </x:c>
      <x:c r="H178" s="12" t="str">
        <x:v>Multi-Asset</x:v>
      </x:c>
      <x:c r="I178" s="12" t="str">
        <x:v>Any liquid OHLCV</x:v>
      </x:c>
      <x:c r="J178" s="12" t="str">
        <x:v>Both</x:v>
      </x:c>
      <x:c r="K178" s="12" t="str">
        <x:v>Yes</x:v>
      </x:c>
      <x:c r="L178" s="12" t="str">
        <x:v>Yes</x:v>
      </x:c>
      <x:c r="M178" s="12" t="str">
        <x:v>Intraday-Months</x:v>
      </x:c>
      <x:c r="N178" s="12" t="str">
        <x:v>Source-specific</x:v>
      </x:c>
      <x:c r="O178" s="12" t="str">
        <x:v>Fast SMA crosses above slow SMA.</x:v>
      </x:c>
      <x:c r="P178" s="12" t="str">
        <x:v>Fast SMA crosses below slow SMA.</x:v>
      </x:c>
      <x:c r="Q178" s="12" t="str">
        <x:v>Reverse cross.</x:v>
      </x:c>
      <x:c r="R178" s="12" t="str">
        <x:v>Fast/slow SMA</x:v>
      </x:c>
      <x:c r="S178" s="12" t="str">
        <x:v>Market data + strategy-specific extras</x:v>
      </x:c>
      <x:c r="T178" s="12" t="str">
        <x:v>Treat as untrusted hypothesis; independently define and register before testing.</x:v>
      </x:c>
      <x:c r="U178" s="12" t="str">
        <x:v>Selection bias, survivorship, promotional claims, incomplete rules.</x:v>
      </x:c>
      <x:c r="V178" s="12" t="str">
        <x:v>Low</x:v>
      </x:c>
      <x:c r="W178" s="12" t="str">
        <x:v>C</x:v>
      </x:c>
      <x:c r="X178" s="12" t="str">
        <x:v>https://www.reddit.com/r/algotrading/comments/1naoem2/list_of_the_most_basic_algorithmic_trading/</x:v>
      </x:c>
      <x:c r="Y178" s="12" t="str">
        <x:v>2026-10-07</x:v>
      </x:c>
      <x:c r="Z178" s="12" t="str">
        <x:v>No community performance claim is carried forward as evidence.</x:v>
      </x:c>
    </x:row>
    <x:row r="179" ht="48" customHeight="1">
      <x:c r="A179" s="12" t="str">
        <x:v>EXT-178</x:v>
      </x:c>
      <x:c r="B179" s="12" t="str">
        <x:v>Exponential Moving-Average Cross</x:v>
      </x:c>
      <x:c r="C179" s="12" t="str">
        <x:v>Trend / EMA</x:v>
      </x:c>
      <x:c r="D179" s="12" t="str">
        <x:v>Reddit community</x:v>
      </x:c>
      <x:c r="E179" s="12" t="str">
        <x:v>Community discussion</x:v>
      </x:c>
      <x:c r="F179" s="12" t="str">
        <x:v>Hypothesis only</x:v>
      </x:c>
      <x:c r="G179" s="14" t="n">
        <x:v>0.6</x:v>
      </x:c>
      <x:c r="H179" s="12" t="str">
        <x:v>Multi-Asset</x:v>
      </x:c>
      <x:c r="I179" s="12" t="str">
        <x:v>Any liquid OHLCV</x:v>
      </x:c>
      <x:c r="J179" s="12" t="str">
        <x:v>Both</x:v>
      </x:c>
      <x:c r="K179" s="12" t="str">
        <x:v>Yes</x:v>
      </x:c>
      <x:c r="L179" s="12" t="str">
        <x:v>Yes</x:v>
      </x:c>
      <x:c r="M179" s="12" t="str">
        <x:v>Intraday-Months</x:v>
      </x:c>
      <x:c r="N179" s="12" t="str">
        <x:v>Source-specific</x:v>
      </x:c>
      <x:c r="O179" s="12" t="str">
        <x:v>Fast EMA crosses above slow EMA.</x:v>
      </x:c>
      <x:c r="P179" s="12" t="str">
        <x:v>Fast EMA crosses below slow EMA.</x:v>
      </x:c>
      <x:c r="Q179" s="12" t="str">
        <x:v>Reverse cross.</x:v>
      </x:c>
      <x:c r="R179" s="12" t="str">
        <x:v>Fast/slow EMA</x:v>
      </x:c>
      <x:c r="S179" s="12" t="str">
        <x:v>Market data + strategy-specific extras</x:v>
      </x:c>
      <x:c r="T179" s="12" t="str">
        <x:v>Treat as untrusted hypothesis; independently define and register before testing.</x:v>
      </x:c>
      <x:c r="U179" s="12" t="str">
        <x:v>Selection bias, survivorship, promotional claims, incomplete rules.</x:v>
      </x:c>
      <x:c r="V179" s="12" t="str">
        <x:v>Low</x:v>
      </x:c>
      <x:c r="W179" s="12" t="str">
        <x:v>C</x:v>
      </x:c>
      <x:c r="X179" s="12" t="str">
        <x:v>https://www.reddit.com/r/algotrading/comments/1naoem2/list_of_the_most_basic_algorithmic_trading/</x:v>
      </x:c>
      <x:c r="Y179" s="12" t="str">
        <x:v>2026-10-07</x:v>
      </x:c>
      <x:c r="Z179" s="12" t="str">
        <x:v>No community performance claim is carried forward as evidence.</x:v>
      </x:c>
    </x:row>
    <x:row r="180" ht="48" customHeight="1">
      <x:c r="A180" s="12" t="str">
        <x:v>EXT-179</x:v>
      </x:c>
      <x:c r="B180" s="12" t="str">
        <x:v>MACD Crossover Baseline</x:v>
      </x:c>
      <x:c r="C180" s="12" t="str">
        <x:v>Trend / MACD</x:v>
      </x:c>
      <x:c r="D180" s="12" t="str">
        <x:v>Reddit community</x:v>
      </x:c>
      <x:c r="E180" s="12" t="str">
        <x:v>Community discussion</x:v>
      </x:c>
      <x:c r="F180" s="12" t="str">
        <x:v>Hypothesis only</x:v>
      </x:c>
      <x:c r="G180" s="14" t="n">
        <x:v>0.6</x:v>
      </x:c>
      <x:c r="H180" s="12" t="str">
        <x:v>Multi-Asset</x:v>
      </x:c>
      <x:c r="I180" s="12" t="str">
        <x:v>Any liquid OHLCV</x:v>
      </x:c>
      <x:c r="J180" s="12" t="str">
        <x:v>Both</x:v>
      </x:c>
      <x:c r="K180" s="12" t="str">
        <x:v>Yes</x:v>
      </x:c>
      <x:c r="L180" s="12" t="str">
        <x:v>Yes</x:v>
      </x:c>
      <x:c r="M180" s="12" t="str">
        <x:v>Intraday-Months</x:v>
      </x:c>
      <x:c r="N180" s="12" t="str">
        <x:v>Source-specific</x:v>
      </x:c>
      <x:c r="O180" s="12" t="str">
        <x:v>MACD bullish cross.</x:v>
      </x:c>
      <x:c r="P180" s="12" t="str">
        <x:v>MACD bearish cross.</x:v>
      </x:c>
      <x:c r="Q180" s="12" t="str">
        <x:v>Reverse cross.</x:v>
      </x:c>
      <x:c r="R180" s="12" t="str">
        <x:v>MACD 12/26/9 baseline + variants</x:v>
      </x:c>
      <x:c r="S180" s="12" t="str">
        <x:v>Market data + strategy-specific extras</x:v>
      </x:c>
      <x:c r="T180" s="12" t="str">
        <x:v>Treat as untrusted hypothesis; independently define and register before testing.</x:v>
      </x:c>
      <x:c r="U180" s="12" t="str">
        <x:v>Selection bias, survivorship, promotional claims, incomplete rules.</x:v>
      </x:c>
      <x:c r="V180" s="12" t="str">
        <x:v>Medium</x:v>
      </x:c>
      <x:c r="W180" s="12" t="str">
        <x:v>B</x:v>
      </x:c>
      <x:c r="X180" s="12" t="str">
        <x:v>https://www.reddit.com/r/algotrading/comments/1naoem2/list_of_the_most_basic_algorithmic_trading/</x:v>
      </x:c>
      <x:c r="Y180" s="12" t="str">
        <x:v>2026-10-07</x:v>
      </x:c>
      <x:c r="Z180" s="12" t="str">
        <x:v>No community performance claim is carried forward as evidence.</x:v>
      </x:c>
    </x:row>
    <x:row r="181" ht="48" customHeight="1">
      <x:c r="A181" s="12" t="str">
        <x:v>EXT-180</x:v>
      </x:c>
      <x:c r="B181" s="12" t="str">
        <x:v>RSI Reversal Baseline</x:v>
      </x:c>
      <x:c r="C181" s="12" t="str">
        <x:v>Mean Reversion / RSI</x:v>
      </x:c>
      <x:c r="D181" s="12" t="str">
        <x:v>Reddit community</x:v>
      </x:c>
      <x:c r="E181" s="12" t="str">
        <x:v>Community discussion</x:v>
      </x:c>
      <x:c r="F181" s="12" t="str">
        <x:v>Hypothesis only</x:v>
      </x:c>
      <x:c r="G181" s="14" t="n">
        <x:v>0.6</x:v>
      </x:c>
      <x:c r="H181" s="12" t="str">
        <x:v>Multi-Asset</x:v>
      </x:c>
      <x:c r="I181" s="12" t="str">
        <x:v>Any liquid OHLCV</x:v>
      </x:c>
      <x:c r="J181" s="12" t="str">
        <x:v>Both</x:v>
      </x:c>
      <x:c r="K181" s="12" t="str">
        <x:v>Yes</x:v>
      </x:c>
      <x:c r="L181" s="12" t="str">
        <x:v>Yes</x:v>
      </x:c>
      <x:c r="M181" s="12" t="str">
        <x:v>Intraday-Months</x:v>
      </x:c>
      <x:c r="N181" s="12" t="str">
        <x:v>Source-specific</x:v>
      </x:c>
      <x:c r="O181" s="12" t="str">
        <x:v>Long on oversold RSI recovery.</x:v>
      </x:c>
      <x:c r="P181" s="12" t="str">
        <x:v>Short on overbought RSI rollover.</x:v>
      </x:c>
      <x:c r="Q181" s="12" t="str">
        <x:v>Neutral/midline/opposite threshold.</x:v>
      </x:c>
      <x:c r="R181" s="12" t="str">
        <x:v>RSI period + thresholds</x:v>
      </x:c>
      <x:c r="S181" s="12" t="str">
        <x:v>Market data + strategy-specific extras</x:v>
      </x:c>
      <x:c r="T181" s="12" t="str">
        <x:v>Treat as untrusted hypothesis; independently define and register before testing.</x:v>
      </x:c>
      <x:c r="U181" s="12" t="str">
        <x:v>Selection bias, survivorship, promotional claims, incomplete rules.</x:v>
      </x:c>
      <x:c r="V181" s="12" t="str">
        <x:v>Medium</x:v>
      </x:c>
      <x:c r="W181" s="12" t="str">
        <x:v>B</x:v>
      </x:c>
      <x:c r="X181" s="12" t="str">
        <x:v>https://www.reddit.com/r/algotrading/comments/1naoem2/list_of_the_most_basic_algorithmic_trading/</x:v>
      </x:c>
      <x:c r="Y181" s="12" t="str">
        <x:v>2026-10-07</x:v>
      </x:c>
      <x:c r="Z181" s="12" t="str">
        <x:v>No community performance claim is carried forward as evidence.</x:v>
      </x:c>
    </x:row>
    <x:row r="182" ht="48" customHeight="1">
      <x:c r="A182" s="12" t="str">
        <x:v>EXT-181</x:v>
      </x:c>
      <x:c r="B182" s="12" t="str">
        <x:v>New High / New Low Breakout</x:v>
      </x:c>
      <x:c r="C182" s="12" t="str">
        <x:v>Breakout</x:v>
      </x:c>
      <x:c r="D182" s="12" t="str">
        <x:v>Reddit community</x:v>
      </x:c>
      <x:c r="E182" s="12" t="str">
        <x:v>Community discussion</x:v>
      </x:c>
      <x:c r="F182" s="12" t="str">
        <x:v>Hypothesis only</x:v>
      </x:c>
      <x:c r="G182" s="14" t="n">
        <x:v>0.6</x:v>
      </x:c>
      <x:c r="H182" s="12" t="str">
        <x:v>Multi-Asset</x:v>
      </x:c>
      <x:c r="I182" s="12" t="str">
        <x:v>Any liquid OHLCV</x:v>
      </x:c>
      <x:c r="J182" s="12" t="str">
        <x:v>Both</x:v>
      </x:c>
      <x:c r="K182" s="12" t="str">
        <x:v>Yes</x:v>
      </x:c>
      <x:c r="L182" s="12" t="str">
        <x:v>Yes</x:v>
      </x:c>
      <x:c r="M182" s="12" t="str">
        <x:v>Intraday-Months</x:v>
      </x:c>
      <x:c r="N182" s="12" t="str">
        <x:v>Source-specific</x:v>
      </x:c>
      <x:c r="O182" s="12" t="str">
        <x:v>Long on N-period new high breakout.</x:v>
      </x:c>
      <x:c r="P182" s="12" t="str">
        <x:v>Short on N-period new low breakdown.</x:v>
      </x:c>
      <x:c r="Q182" s="12" t="str">
        <x:v>Opposite breakout/trailing/time exit.</x:v>
      </x:c>
      <x:c r="R182" s="12" t="str">
        <x:v>N lookback</x:v>
      </x:c>
      <x:c r="S182" s="12" t="str">
        <x:v>Market data + strategy-specific extras</x:v>
      </x:c>
      <x:c r="T182" s="12" t="str">
        <x:v>Treat as untrusted hypothesis; independently define and register before testing.</x:v>
      </x:c>
      <x:c r="U182" s="12" t="str">
        <x:v>Selection bias, survivorship, promotional claims, incomplete rules.</x:v>
      </x:c>
      <x:c r="V182" s="12" t="str">
        <x:v>Low</x:v>
      </x:c>
      <x:c r="W182" s="12" t="str">
        <x:v>C</x:v>
      </x:c>
      <x:c r="X182" s="12" t="str">
        <x:v>https://www.reddit.com/r/algotrading/comments/1naoem2/list_of_the_most_basic_algorithmic_trading/</x:v>
      </x:c>
      <x:c r="Y182" s="12" t="str">
        <x:v>2026-10-07</x:v>
      </x:c>
      <x:c r="Z182" s="12" t="str">
        <x:v>No community performance claim is carried forward as evidence.</x:v>
      </x:c>
    </x:row>
    <x:row r="183" ht="48" customHeight="1">
      <x:c r="A183" s="12" t="str">
        <x:v>EXT-182</x:v>
      </x:c>
      <x:c r="B183" s="12" t="str">
        <x:v>ATR Volatility Breakout</x:v>
      </x:c>
      <x:c r="C183" s="12" t="str">
        <x:v>Breakout / Volatility</x:v>
      </x:c>
      <x:c r="D183" s="12" t="str">
        <x:v>Reddit community</x:v>
      </x:c>
      <x:c r="E183" s="12" t="str">
        <x:v>Community discussion</x:v>
      </x:c>
      <x:c r="F183" s="12" t="str">
        <x:v>Hypothesis only</x:v>
      </x:c>
      <x:c r="G183" s="14" t="n">
        <x:v>0.6</x:v>
      </x:c>
      <x:c r="H183" s="12" t="str">
        <x:v>Multi-Asset</x:v>
      </x:c>
      <x:c r="I183" s="12" t="str">
        <x:v>Any liquid OHLCV</x:v>
      </x:c>
      <x:c r="J183" s="12" t="str">
        <x:v>Both</x:v>
      </x:c>
      <x:c r="K183" s="12" t="str">
        <x:v>Yes</x:v>
      </x:c>
      <x:c r="L183" s="12" t="str">
        <x:v>Yes</x:v>
      </x:c>
      <x:c r="M183" s="12" t="str">
        <x:v>Intraday-Months</x:v>
      </x:c>
      <x:c r="N183" s="12" t="str">
        <x:v>Source-specific</x:v>
      </x:c>
      <x:c r="O183" s="12" t="str">
        <x:v>Long when price exceeds reference by ATR multiple.</x:v>
      </x:c>
      <x:c r="P183" s="12" t="str">
        <x:v>Short when below reference by ATR multiple.</x:v>
      </x:c>
      <x:c r="Q183" s="12" t="str">
        <x:v>ATR stop/trailing/reversal.</x:v>
      </x:c>
      <x:c r="R183" s="12" t="str">
        <x:v>ATR length/multiplier</x:v>
      </x:c>
      <x:c r="S183" s="12" t="str">
        <x:v>Market data + strategy-specific extras</x:v>
      </x:c>
      <x:c r="T183" s="12" t="str">
        <x:v>Treat as untrusted hypothesis; independently define and register before testing.</x:v>
      </x:c>
      <x:c r="U183" s="12" t="str">
        <x:v>Selection bias, survivorship, promotional claims, incomplete rules.</x:v>
      </x:c>
      <x:c r="V183" s="12" t="str">
        <x:v>Low</x:v>
      </x:c>
      <x:c r="W183" s="12" t="str">
        <x:v>C</x:v>
      </x:c>
      <x:c r="X183" s="12" t="str">
        <x:v>https://www.reddit.com/r/algotrading/comments/1naoem2/list_of_the_most_basic_algorithmic_trading/</x:v>
      </x:c>
      <x:c r="Y183" s="12" t="str">
        <x:v>2026-10-07</x:v>
      </x:c>
      <x:c r="Z183" s="12" t="str">
        <x:v>No community performance claim is carried forward as evidence.</x:v>
      </x:c>
    </x:row>
    <x:row r="184" ht="48" customHeight="1">
      <x:c r="A184" s="12" t="str">
        <x:v>EXT-183</x:v>
      </x:c>
      <x:c r="B184" s="12" t="str">
        <x:v>VWAP Trend/Reversion Baseline</x:v>
      </x:c>
      <x:c r="C184" s="12" t="str">
        <x:v>VWAP</x:v>
      </x:c>
      <x:c r="D184" s="12" t="str">
        <x:v>Reddit community</x:v>
      </x:c>
      <x:c r="E184" s="12" t="str">
        <x:v>Community discussion</x:v>
      </x:c>
      <x:c r="F184" s="12" t="str">
        <x:v>Hypothesis only</x:v>
      </x:c>
      <x:c r="G184" s="14" t="n">
        <x:v>0.6</x:v>
      </x:c>
      <x:c r="H184" s="12" t="str">
        <x:v>Multi-Asset</x:v>
      </x:c>
      <x:c r="I184" s="12" t="str">
        <x:v>Liquid intraday assets</x:v>
      </x:c>
      <x:c r="J184" s="12" t="str">
        <x:v>Both</x:v>
      </x:c>
      <x:c r="K184" s="12" t="str">
        <x:v>Yes</x:v>
      </x:c>
      <x:c r="L184" s="12" t="str">
        <x:v>Yes</x:v>
      </x:c>
      <x:c r="M184" s="12" t="str">
        <x:v>Intraday-Months</x:v>
      </x:c>
      <x:c r="N184" s="12" t="str">
        <x:v>Source-specific</x:v>
      </x:c>
      <x:c r="O184" s="12" t="str">
        <x:v>Test price-above-VWAP trend long and below-VWAP deviation MR long as separate candidates.</x:v>
      </x:c>
      <x:c r="P184" s="12" t="str">
        <x:v>Mirror short variants.</x:v>
      </x:c>
      <x:c r="Q184" s="12" t="str">
        <x:v>VWAP cross/return-to-VWAP depending family.</x:v>
      </x:c>
      <x:c r="R184" s="12" t="str">
        <x:v>Session VWAP; deviation bands</x:v>
      </x:c>
      <x:c r="S184" s="12" t="str">
        <x:v>Market data + strategy-specific extras</x:v>
      </x:c>
      <x:c r="T184" s="12" t="str">
        <x:v>Treat as untrusted hypothesis; independently define and register before testing.</x:v>
      </x:c>
      <x:c r="U184" s="12" t="str">
        <x:v>Selection bias, survivorship, promotional claims, incomplete rules.</x:v>
      </x:c>
      <x:c r="V184" s="12" t="str">
        <x:v>Medium</x:v>
      </x:c>
      <x:c r="W184" s="12" t="str">
        <x:v>B</x:v>
      </x:c>
      <x:c r="X184" s="12" t="str">
        <x:v>https://www.reddit.com/r/algotrading/comments/1naoem2/list_of_the_most_basic_algorithmic_trading/</x:v>
      </x:c>
      <x:c r="Y184" s="12" t="str">
        <x:v>2026-10-07</x:v>
      </x:c>
      <x:c r="Z184" s="12" t="str">
        <x:v>No community performance claim is carried forward as evidence.</x:v>
      </x:c>
    </x:row>
    <x:row r="185" ht="48" customHeight="1">
      <x:c r="A185" s="12" t="str">
        <x:v>EXT-184</x:v>
      </x:c>
      <x:c r="B185" s="12" t="str">
        <x:v>Grid Trading Baseline</x:v>
      </x:c>
      <x:c r="C185" s="12" t="str">
        <x:v>Grid / Mean Reversion</x:v>
      </x:c>
      <x:c r="D185" s="12" t="str">
        <x:v>Reddit community</x:v>
      </x:c>
      <x:c r="E185" s="12" t="str">
        <x:v>Community discussion</x:v>
      </x:c>
      <x:c r="F185" s="12" t="str">
        <x:v>Hypothesis only</x:v>
      </x:c>
      <x:c r="G185" s="14" t="n">
        <x:v>0.6</x:v>
      </x:c>
      <x:c r="H185" s="12" t="str">
        <x:v>Multi-Asset</x:v>
      </x:c>
      <x:c r="I185" s="12" t="str">
        <x:v>FX/Crypto</x:v>
      </x:c>
      <x:c r="J185" s="12" t="str">
        <x:v>Both / inventory</x:v>
      </x:c>
      <x:c r="K185" s="12" t="str">
        <x:v>Yes</x:v>
      </x:c>
      <x:c r="L185" s="12" t="str">
        <x:v>Yes</x:v>
      </x:c>
      <x:c r="M185" s="12" t="str">
        <x:v>Intraday-Months</x:v>
      </x:c>
      <x:c r="N185" s="12" t="str">
        <x:v>Source-specific</x:v>
      </x:c>
      <x:c r="O185" s="12" t="str">
        <x:v>Place buy grid below reference and sell grid above reference under range regime.</x:v>
      </x:c>
      <x:c r="P185" s="12" t="str">
        <x:v>Symmetric inventory management.</x:v>
      </x:c>
      <x:c r="Q185" s="12" t="str">
        <x:v>Close grid at target/recenter; hard trend kill-switch.</x:v>
      </x:c>
      <x:c r="R185" s="12" t="str">
        <x:v>Grid spacing; levels; inventory cap</x:v>
      </x:c>
      <x:c r="S185" s="12" t="str">
        <x:v>Market data + strategy-specific extras</x:v>
      </x:c>
      <x:c r="T185" s="12" t="str">
        <x:v>Treat as untrusted hypothesis; independently define and register before testing.</x:v>
      </x:c>
      <x:c r="U185" s="12" t="str">
        <x:v>Selection bias, survivorship, promotional claims, incomplete rules.</x:v>
      </x:c>
      <x:c r="V185" s="12" t="str">
        <x:v>Medium</x:v>
      </x:c>
      <x:c r="W185" s="12" t="str">
        <x:v>B</x:v>
      </x:c>
      <x:c r="X185" s="12" t="str">
        <x:v>https://www.reddit.com/r/algotrading/comments/1naoem2/list_of_the_most_basic_algorithmic_trading/</x:v>
      </x:c>
      <x:c r="Y185" s="12" t="str">
        <x:v>2026-10-07</x:v>
      </x:c>
      <x:c r="Z185" s="12" t="str">
        <x:v>No community performance claim is carried forward as evidence.</x:v>
      </x:c>
    </x:row>
    <x:row r="186" ht="48" customHeight="1">
      <x:c r="A186" s="12" t="str">
        <x:v>EXT-185</x:v>
      </x:c>
      <x:c r="B186" s="12" t="str">
        <x:v>Horizontal/Wedge Compression Breakout</x:v>
      </x:c>
      <x:c r="C186" s="12" t="str">
        <x:v>Breakout / Compression</x:v>
      </x:c>
      <x:c r="D186" s="12" t="str">
        <x:v>Reddit community</x:v>
      </x:c>
      <x:c r="E186" s="12" t="str">
        <x:v>Community discussion</x:v>
      </x:c>
      <x:c r="F186" s="12" t="str">
        <x:v>Hypothesis only</x:v>
      </x:c>
      <x:c r="G186" s="14" t="n">
        <x:v>0.6</x:v>
      </x:c>
      <x:c r="H186" s="12" t="str">
        <x:v>Multi-Asset</x:v>
      </x:c>
      <x:c r="I186" s="12" t="str">
        <x:v>Any liquid OHLCV</x:v>
      </x:c>
      <x:c r="J186" s="12" t="str">
        <x:v>Both</x:v>
      </x:c>
      <x:c r="K186" s="12" t="str">
        <x:v>Yes</x:v>
      </x:c>
      <x:c r="L186" s="12" t="str">
        <x:v>Yes</x:v>
      </x:c>
      <x:c r="M186" s="12" t="str">
        <x:v>Intraday-Months</x:v>
      </x:c>
      <x:c r="N186" s="12" t="str">
        <x:v>Source-specific</x:v>
      </x:c>
      <x:c r="O186" s="12" t="str">
        <x:v>Long on confirmed upper compression breakout.</x:v>
      </x:c>
      <x:c r="P186" s="12" t="str">
        <x:v>Short on lower breakout.</x:v>
      </x:c>
      <x:c r="Q186" s="12" t="str">
        <x:v>Failed-breakout stop / measured target.</x:v>
      </x:c>
      <x:c r="R186" s="12" t="str">
        <x:v>Compression window; confirmation</x:v>
      </x:c>
      <x:c r="S186" s="12" t="str">
        <x:v>Market data + strategy-specific extras</x:v>
      </x:c>
      <x:c r="T186" s="12" t="str">
        <x:v>Treat as untrusted hypothesis; independently define and register before testing.</x:v>
      </x:c>
      <x:c r="U186" s="12" t="str">
        <x:v>Selection bias, survivorship, promotional claims, incomplete rules.</x:v>
      </x:c>
      <x:c r="V186" s="12" t="str">
        <x:v>Low</x:v>
      </x:c>
      <x:c r="W186" s="12" t="str">
        <x:v>C</x:v>
      </x:c>
      <x:c r="X186" s="12" t="str">
        <x:v>https://www.reddit.com/r/algotrading/comments/1naoem2/list_of_the_most_basic_algorithmic_trading/</x:v>
      </x:c>
      <x:c r="Y186" s="12" t="str">
        <x:v>2026-10-07</x:v>
      </x:c>
      <x:c r="Z186" s="12" t="str">
        <x:v>No community performance claim is carried forward as evidence.</x:v>
      </x:c>
    </x:row>
    <x:row r="187" ht="48" customHeight="1">
      <x:c r="A187" s="12" t="str">
        <x:v>EXT-186</x:v>
      </x:c>
      <x:c r="B187" s="12" t="str">
        <x:v>BTC Bollinger-or-VWAP/RSI/ADX Breakout</x:v>
      </x:c>
      <x:c r="C187" s="12" t="str">
        <x:v>Hybrid Breakout</x:v>
      </x:c>
      <x:c r="D187" s="12" t="str">
        <x:v>Reddit community</x:v>
      </x:c>
      <x:c r="E187" s="12" t="str">
        <x:v>Community discussion</x:v>
      </x:c>
      <x:c r="F187" s="12" t="str">
        <x:v>Hypothesis only</x:v>
      </x:c>
      <x:c r="G187" s="14" t="n">
        <x:v>0.6</x:v>
      </x:c>
      <x:c r="H187" s="12" t="str">
        <x:v>Multi-Asset</x:v>
      </x:c>
      <x:c r="I187" s="12" t="str">
        <x:v>BTCUSD; test other crypto separately</x:v>
      </x:c>
      <x:c r="J187" s="12" t="str">
        <x:v>Both</x:v>
      </x:c>
      <x:c r="K187" s="12" t="str">
        <x:v>Yes</x:v>
      </x:c>
      <x:c r="L187" s="12" t="str">
        <x:v>Yes</x:v>
      </x:c>
      <x:c r="M187" s="12" t="str">
        <x:v>Intraday-Months</x:v>
      </x:c>
      <x:c r="N187" s="12" t="str">
        <x:v>Source-specific</x:v>
      </x:c>
      <x:c r="O187" s="12" t="str">
        <x:v>Long if close &gt;= upper BB OR 6 bars above VWAP + RSI&gt;55 + ADX&gt;45.</x:v>
      </x:c>
      <x:c r="P187" s="12" t="str">
        <x:v>Short if close &lt;= lower BB OR mirrored downtrend condition.</x:v>
      </x:c>
      <x:c r="Q187" s="12" t="str">
        <x:v>Source-specific multi-trade exit rules; formalize before test.</x:v>
      </x:c>
      <x:c r="R187" s="12" t="str">
        <x:v>BB(42,2.5), VWAP, ADX5, RSI5</x:v>
      </x:c>
      <x:c r="S187" s="12" t="str">
        <x:v>Market data + strategy-specific extras</x:v>
      </x:c>
      <x:c r="T187" s="12" t="str">
        <x:v>Treat as untrusted hypothesis; independently define and register before testing.</x:v>
      </x:c>
      <x:c r="U187" s="12" t="str">
        <x:v>Selection bias, survivorship, promotional claims, incomplete rules.</x:v>
      </x:c>
      <x:c r="V187" s="12" t="str">
        <x:v>Low</x:v>
      </x:c>
      <x:c r="W187" s="12" t="str">
        <x:v>C</x:v>
      </x:c>
      <x:c r="X187" s="12" t="str">
        <x:v>https://www.reddit.com/r/algotrading/comments/1lmrjl6</x:v>
      </x:c>
      <x:c r="Y187" s="12" t="str">
        <x:v>2026-10-07</x:v>
      </x:c>
      <x:c r="Z187" s="12" t="str">
        <x:v>No community performance claim is carried forward as evidence.</x:v>
      </x:c>
    </x:row>
    <x:row r="188" ht="48" customHeight="1">
      <x:c r="A188" s="12" t="str">
        <x:v>EXT-187</x:v>
      </x:c>
      <x:c r="B188" s="12" t="str">
        <x:v>SPY VWAP-ATR Stretch + RSI</x:v>
      </x:c>
      <x:c r="C188" s="12" t="str">
        <x:v>Mean Reversion / VWAP</x:v>
      </x:c>
      <x:c r="D188" s="12" t="str">
        <x:v>Reddit community</x:v>
      </x:c>
      <x:c r="E188" s="12" t="str">
        <x:v>Community discussion</x:v>
      </x:c>
      <x:c r="F188" s="12" t="str">
        <x:v>Hypothesis only</x:v>
      </x:c>
      <x:c r="G188" s="14" t="n">
        <x:v>0.6</x:v>
      </x:c>
      <x:c r="H188" s="12" t="str">
        <x:v>Multi-Asset</x:v>
      </x:c>
      <x:c r="I188" s="12" t="str">
        <x:v>SPY intraday; generalize later</x:v>
      </x:c>
      <x:c r="J188" s="12" t="str">
        <x:v>Both</x:v>
      </x:c>
      <x:c r="K188" s="12" t="str">
        <x:v>Yes</x:v>
      </x:c>
      <x:c r="L188" s="12" t="str">
        <x:v>Yes</x:v>
      </x:c>
      <x:c r="M188" s="12" t="str">
        <x:v>Intraday-Months</x:v>
      </x:c>
      <x:c r="N188" s="12" t="str">
        <x:v>Source-specific</x:v>
      </x:c>
      <x:c r="O188" s="12" t="str">
        <x:v>Long when price sufficiently below VWAP by ATR multiple + RSI oversold + time filters.</x:v>
      </x:c>
      <x:c r="P188" s="12" t="str">
        <x:v>Short when sufficiently above VWAP + RSI overbought; no shorts late session per post.</x:v>
      </x:c>
      <x:c r="Q188" s="12" t="str">
        <x:v>Reversal confirmation/target VWAP to formalize.</x:v>
      </x:c>
      <x:c r="R188" s="12" t="str">
        <x:v>VWAP; ATR20; RSI; first-15m/last-hour filters</x:v>
      </x:c>
      <x:c r="S188" s="12" t="str">
        <x:v>Market data + strategy-specific extras</x:v>
      </x:c>
      <x:c r="T188" s="12" t="str">
        <x:v>Treat as untrusted hypothesis; independently define and register before testing.</x:v>
      </x:c>
      <x:c r="U188" s="12" t="str">
        <x:v>Selection bias, survivorship, promotional claims, incomplete rules.</x:v>
      </x:c>
      <x:c r="V188" s="12" t="str">
        <x:v>Low</x:v>
      </x:c>
      <x:c r="W188" s="12" t="str">
        <x:v>C</x:v>
      </x:c>
      <x:c r="X188" s="12" t="str">
        <x:v>https://www.reddit.com/r/algotrading/comments/1spr49z/best_mean_reversion_metric_to_base_on/</x:v>
      </x:c>
      <x:c r="Y188" s="12" t="str">
        <x:v>2026-10-07</x:v>
      </x:c>
      <x:c r="Z188" s="12" t="str">
        <x:v>No community performance claim is carried forward as evidence.</x:v>
      </x:c>
    </x:row>
    <x:row r="189" ht="48" customHeight="1">
      <x:c r="A189" s="12" t="str">
        <x:v>EXT-188</x:v>
      </x:c>
      <x:c r="B189" s="12" t="str">
        <x:v>Nasdaq Breadth + Dual Momentum Leverage States</x:v>
      </x:c>
      <x:c r="C189" s="12" t="str">
        <x:v>Momentum / Breadth</x:v>
      </x:c>
      <x:c r="D189" s="12" t="str">
        <x:v>Reddit community</x:v>
      </x:c>
      <x:c r="E189" s="12" t="str">
        <x:v>Community discussion</x:v>
      </x:c>
      <x:c r="F189" s="12" t="str">
        <x:v>Hypothesis only</x:v>
      </x:c>
      <x:c r="G189" s="14" t="n">
        <x:v>0.6</x:v>
      </x:c>
      <x:c r="H189" s="12" t="str">
        <x:v>Multi-Asset</x:v>
      </x:c>
      <x:c r="I189" s="12" t="str">
        <x:v>QQQ/QLD/TQQQ; Nasdaq-100</x:v>
      </x:c>
      <x:c r="J189" s="12" t="str">
        <x:v>Long/Cash; short hedge derived</x:v>
      </x:c>
      <x:c r="K189" s="12" t="str">
        <x:v>Yes</x:v>
      </x:c>
      <x:c r="L189" s="12" t="str">
        <x:v>Derived</x:v>
      </x:c>
      <x:c r="M189" s="12" t="str">
        <x:v>Intraday-Months</x:v>
      </x:c>
      <x:c r="N189" s="12" t="str">
        <x:v>Source-specific</x:v>
      </x:c>
      <x:c r="O189" s="12" t="str">
        <x:v>Risk-on 2x/3x states when breadth and weighted 6m/12m momentum healthy.</x:v>
      </x:c>
      <x:c r="P189" s="12" t="str">
        <x:v>Derived hedge/short state instead of cash for separate test only.</x:v>
      </x:c>
      <x:c r="Q189" s="12" t="str">
        <x:v>Monthly state transition.</x:v>
      </x:c>
      <x:c r="R189" s="12" t="str">
        <x:v>0.7*6m + 0.3*12m vs risk-free; 3m&lt;0 exit; breadth thresholds</x:v>
      </x:c>
      <x:c r="S189" s="12" t="str">
        <x:v>Market data + strategy-specific extras</x:v>
      </x:c>
      <x:c r="T189" s="12" t="str">
        <x:v>Treat as untrusted hypothesis; independently define and register before testing.</x:v>
      </x:c>
      <x:c r="U189" s="12" t="str">
        <x:v>Selection bias, survivorship, promotional claims, incomplete rules.</x:v>
      </x:c>
      <x:c r="V189" s="12" t="str">
        <x:v>Low</x:v>
      </x:c>
      <x:c r="W189" s="12" t="str">
        <x:v>C</x:v>
      </x:c>
      <x:c r="X189" s="12" t="str">
        <x:v>https://www.reddit.com/r/algotrading/comments/1vb4ajj/leverage_dual_momentum_ldm_a_24year_backtested/</x:v>
      </x:c>
      <x:c r="Y189" s="12" t="str">
        <x:v>2026-10-07</x:v>
      </x:c>
      <x:c r="Z189" s="12" t="str">
        <x:v>No community performance claim is carried forward as evidence.</x:v>
      </x:c>
    </x:row>
    <x:row r="190" ht="48" customHeight="1">
      <x:c r="A190" s="12" t="str">
        <x:v>EXT-189</x:v>
      </x:c>
      <x:c r="B190" s="12" t="str">
        <x:v>15-Minute Opening Range Breakout</x:v>
      </x:c>
      <x:c r="C190" s="12" t="str">
        <x:v>Opening Range Breakout</x:v>
      </x:c>
      <x:c r="D190" s="12" t="str">
        <x:v>Reddit community</x:v>
      </x:c>
      <x:c r="E190" s="12" t="str">
        <x:v>Community discussion</x:v>
      </x:c>
      <x:c r="F190" s="12" t="str">
        <x:v>Hypothesis only</x:v>
      </x:c>
      <x:c r="G190" s="14" t="n">
        <x:v>0.6</x:v>
      </x:c>
      <x:c r="H190" s="12" t="str">
        <x:v>Multi-Asset</x:v>
      </x:c>
      <x:c r="I190" s="12" t="str">
        <x:v>S&amp;P500/indices/stocks/futures</x:v>
      </x:c>
      <x:c r="J190" s="12" t="str">
        <x:v>Both</x:v>
      </x:c>
      <x:c r="K190" s="12" t="str">
        <x:v>Yes</x:v>
      </x:c>
      <x:c r="L190" s="12" t="str">
        <x:v>Yes</x:v>
      </x:c>
      <x:c r="M190" s="12" t="str">
        <x:v>Intraday-Months</x:v>
      </x:c>
      <x:c r="N190" s="12" t="str">
        <x:v>Source-specific</x:v>
      </x:c>
      <x:c r="O190" s="12" t="str">
        <x:v>After first 15m range, long breakout above high.</x:v>
      </x:c>
      <x:c r="P190" s="12" t="str">
        <x:v>Short breakdown below low.</x:v>
      </x:c>
      <x:c r="Q190" s="12" t="str">
        <x:v>Opposite side of range stop; fixed R target.</x:v>
      </x:c>
      <x:c r="R190" s="12" t="str">
        <x:v>15m OR; risk-reward multiple</x:v>
      </x:c>
      <x:c r="S190" s="12" t="str">
        <x:v>Market data + strategy-specific extras</x:v>
      </x:c>
      <x:c r="T190" s="12" t="str">
        <x:v>Treat as untrusted hypothesis; independently define and register before testing.</x:v>
      </x:c>
      <x:c r="U190" s="12" t="str">
        <x:v>Selection bias, survivorship, promotional claims, incomplete rules.</x:v>
      </x:c>
      <x:c r="V190" s="12" t="str">
        <x:v>Medium</x:v>
      </x:c>
      <x:c r="W190" s="12" t="str">
        <x:v>B</x:v>
      </x:c>
      <x:c r="X190" s="12" t="str">
        <x:v>https://www.reddit.com/r/algotrading/comments/1po7w8e/orb_strategy_backtest_update_testing_more/</x:v>
      </x:c>
      <x:c r="Y190" s="12" t="str">
        <x:v>2026-10-07</x:v>
      </x:c>
      <x:c r="Z190" s="12" t="str">
        <x:v>No community performance claim is carried forward as evidence.</x:v>
      </x:c>
    </x:row>
    <x:row r="191" ht="48" customHeight="1">
      <x:c r="A191" s="12" t="str">
        <x:v>EXT-190</x:v>
      </x:c>
      <x:c r="B191" s="12" t="str">
        <x:v>Crypto Funding-Rate Arbitrage</x:v>
      </x:c>
      <x:c r="C191" s="12" t="str">
        <x:v>Arbitrage / Funding</x:v>
      </x:c>
      <x:c r="D191" s="12" t="str">
        <x:v>Reddit community</x:v>
      </x:c>
      <x:c r="E191" s="12" t="str">
        <x:v>Community discussion</x:v>
      </x:c>
      <x:c r="F191" s="12" t="str">
        <x:v>Hypothesis only</x:v>
      </x:c>
      <x:c r="G191" s="14" t="n">
        <x:v>0.6</x:v>
      </x:c>
      <x:c r="H191" s="12" t="str">
        <x:v>Multi-Asset</x:v>
      </x:c>
      <x:c r="I191" s="12" t="str">
        <x:v>Crypto spot/perpetuals across exchanges</x:v>
      </x:c>
      <x:c r="J191" s="12" t="str">
        <x:v>Market-neutral</x:v>
      </x:c>
      <x:c r="K191" s="12" t="str">
        <x:v>Yes</x:v>
      </x:c>
      <x:c r="L191" s="12" t="str">
        <x:v>Yes</x:v>
      </x:c>
      <x:c r="M191" s="12" t="str">
        <x:v>Intraday-Months</x:v>
      </x:c>
      <x:c r="N191" s="12" t="str">
        <x:v>Source-specific</x:v>
      </x:c>
      <x:c r="O191" s="12" t="str">
        <x:v>Long lower/spot leg and short perpetual where positive funding compensates spread/costs.</x:v>
      </x:c>
      <x:c r="P191" s="12" t="str">
        <x:v>Reverse when funding sign/opportunity reverses.</x:v>
      </x:c>
      <x:c r="Q191" s="12" t="str">
        <x:v>Close when funding edge falls below costs/risk threshold.</x:v>
      </x:c>
      <x:c r="R191" s="12" t="str">
        <x:v>Funding rate; basis; transfer/borrow costs</x:v>
      </x:c>
      <x:c r="S191" s="12" t="str">
        <x:v>Market data + strategy-specific extras</x:v>
      </x:c>
      <x:c r="T191" s="12" t="str">
        <x:v>Treat as untrusted hypothesis; independently define and register before testing.</x:v>
      </x:c>
      <x:c r="U191" s="12" t="str">
        <x:v>Selection bias, survivorship, promotional claims, incomplete rules.</x:v>
      </x:c>
      <x:c r="V191" s="12" t="str">
        <x:v>Low</x:v>
      </x:c>
      <x:c r="W191" s="12" t="str">
        <x:v>C</x:v>
      </x:c>
      <x:c r="X191" s="12" t="str">
        <x:v>https://www.reddit.com/r/algotrading/comments/1u9snb0/any_funding_rate_arbitrage_traders_here_looking/</x:v>
      </x:c>
      <x:c r="Y191" s="12" t="str">
        <x:v>2026-10-07</x:v>
      </x:c>
      <x:c r="Z191" s="12" t="str">
        <x:v>No community performance claim is carried forward as evidence.</x:v>
      </x:c>
    </x:row>
    <x:row r="192" ht="48" customHeight="1">
      <x:c r="A192" s="12" t="str">
        <x:v>EXT-191</x:v>
      </x:c>
      <x:c r="B192" s="12" t="str">
        <x:v>Pairs Z-Score + Cointegration Break Stop</x:v>
      </x:c>
      <x:c r="C192" s="12" t="str">
        <x:v>Stat Arb / Pairs</x:v>
      </x:c>
      <x:c r="D192" s="12" t="str">
        <x:v>Reddit community</x:v>
      </x:c>
      <x:c r="E192" s="12" t="str">
        <x:v>Community discussion</x:v>
      </x:c>
      <x:c r="F192" s="12" t="str">
        <x:v>Hypothesis only</x:v>
      </x:c>
      <x:c r="G192" s="14" t="n">
        <x:v>0.6</x:v>
      </x:c>
      <x:c r="H192" s="12" t="str">
        <x:v>Multi-Asset</x:v>
      </x:c>
      <x:c r="I192" s="12" t="str">
        <x:v>Equities/ETFs/Crypto</x:v>
      </x:c>
      <x:c r="J192" s="12" t="str">
        <x:v>Market-neutral</x:v>
      </x:c>
      <x:c r="K192" s="12" t="str">
        <x:v>Yes</x:v>
      </x:c>
      <x:c r="L192" s="12" t="str">
        <x:v>Yes</x:v>
      </x:c>
      <x:c r="M192" s="12" t="str">
        <x:v>Intraday-Months</x:v>
      </x:c>
      <x:c r="N192" s="12" t="str">
        <x:v>Source-specific</x:v>
      </x:c>
      <x:c r="O192" s="12" t="str">
        <x:v>Long negative spread extreme / short counterpart after cointegration validation.</x:v>
      </x:c>
      <x:c r="P192" s="12" t="str">
        <x:v>Short positive spread extreme / long counterpart.</x:v>
      </x:c>
      <x:c r="Q192" s="12" t="str">
        <x:v>Exit at mean; stop if z-score expands to predeclared hard threshold or relationship fails.</x:v>
      </x:c>
      <x:c r="R192" s="12" t="str">
        <x:v>ADF/KPSS/Hurst monitoring; z-entry 2-ish; stop 3-4 candidate</x:v>
      </x:c>
      <x:c r="S192" s="12" t="str">
        <x:v>Market data + strategy-specific extras</x:v>
      </x:c>
      <x:c r="T192" s="12" t="str">
        <x:v>Treat as untrusted hypothesis; independently define and register before testing.</x:v>
      </x:c>
      <x:c r="U192" s="12" t="str">
        <x:v>Selection bias, survivorship, promotional claims, incomplete rules.</x:v>
      </x:c>
      <x:c r="V192" s="12" t="str">
        <x:v>Medium</x:v>
      </x:c>
      <x:c r="W192" s="12" t="str">
        <x:v>B</x:v>
      </x:c>
      <x:c r="X192" s="12" t="str">
        <x:v>https://www.reddit.com/r/algotrading/comments/1j5c6ko/detecting_decointegration/</x:v>
      </x:c>
      <x:c r="Y192" s="12" t="str">
        <x:v>2026-10-07</x:v>
      </x:c>
      <x:c r="Z192" s="12" t="str">
        <x:v>No community performance claim is carried forward as evidence.</x:v>
      </x:c>
    </x:row>
    <x:row r="193" ht="48" customHeight="1">
      <x:c r="A193" s="12" t="str">
        <x:v>EXT-192</x:v>
      </x:c>
      <x:c r="B193" s="12" t="str">
        <x:v>DQN Long/Short Futures Agent</x:v>
      </x:c>
      <x:c r="C193" s="12" t="str">
        <x:v>ML / Reinforcement Learning</x:v>
      </x:c>
      <x:c r="D193" s="12" t="str">
        <x:v>arXiv</x:v>
      </x:c>
      <x:c r="E193" s="12" t="str">
        <x:v>ML research</x:v>
      </x:c>
      <x:c r="F193" s="12" t="str">
        <x:v>Research concept / implementation candidate</x:v>
      </x:c>
      <x:c r="G193" s="14" t="n">
        <x:v>0.82</x:v>
      </x:c>
      <x:c r="H193" s="12" t="str">
        <x:v>Futures</x:v>
      </x:c>
      <x:c r="I193" s="12" t="str">
        <x:v>E-mini S&amp;P 500 continuous futures; extend cross-asset later</x:v>
      </x:c>
      <x:c r="J193" s="12" t="str">
        <x:v>Model-driven</x:v>
      </x:c>
      <x:c r="K193" s="12" t="str">
        <x:v>Yes</x:v>
      </x:c>
      <x:c r="L193" s="12" t="str">
        <x:v>Yes</x:v>
      </x:c>
      <x:c r="M193" s="12" t="str">
        <x:v>Intraday-Months</x:v>
      </x:c>
      <x:c r="N193" s="12" t="str">
        <x:v>Model-specific</x:v>
      </x:c>
      <x:c r="O193" s="12" t="str">
        <x:v>Discrete actions long/short/flat from volatility-normalized daily returns.</x:v>
      </x:c>
      <x:c r="P193" s="12" t="str">
        <x:v>Policy chooses sell/short action when state warrants.</x:v>
      </x:c>
      <x:c r="Q193" s="12" t="str">
        <x:v>Episode/rebalance policy; include costs.</x:v>
      </x:c>
      <x:c r="R193" s="12" t="str">
        <x:v>DQN architecture; state window; reward; action constraints</x:v>
      </x:c>
      <x:c r="S193" s="12" t="str">
        <x:v>Chronological market data; features; training infrastructure</x:v>
      </x:c>
      <x:c r="T193" s="12" t="str">
        <x:v>Must use purged/chronological validation, frozen final holdout, costs, and deterministic seeds/artifacts.</x:v>
      </x:c>
      <x:c r="U193" s="12" t="str">
        <x:v>Severe overfit/leakage risk; research result is not deployment evidence.</x:v>
      </x:c>
      <x:c r="V193" s="12" t="str">
        <x:v>Low</x:v>
      </x:c>
      <x:c r="W193" s="12" t="str">
        <x:v>C</x:v>
      </x:c>
      <x:c r="X193" s="12" t="str">
        <x:v>https://arxiv.org/abs/2106.08437</x:v>
      </x:c>
      <x:c r="Y193" s="12" t="str">
        <x:v>2026-10-07</x:v>
      </x:c>
      <x:c r="Z193" s="12" t="str">
        <x:v>Research-only until classical baselines and data pipeline are stable.</x:v>
      </x:c>
    </x:row>
    <x:row r="194" ht="48" customHeight="1">
      <x:c r="A194" s="12" t="str">
        <x:v>EXT-193</x:v>
      </x:c>
      <x:c r="B194" s="12" t="str">
        <x:v>Deep RL Crypto Portfolio Weights</x:v>
      </x:c>
      <x:c r="C194" s="12" t="str">
        <x:v>ML / Reinforcement Learning</x:v>
      </x:c>
      <x:c r="D194" s="12" t="str">
        <x:v>arXiv</x:v>
      </x:c>
      <x:c r="E194" s="12" t="str">
        <x:v>ML research</x:v>
      </x:c>
      <x:c r="F194" s="12" t="str">
        <x:v>Research concept / implementation candidate</x:v>
      </x:c>
      <x:c r="G194" s="14" t="n">
        <x:v>0.82</x:v>
      </x:c>
      <x:c r="H194" s="12" t="str">
        <x:v>Crypto</x:v>
      </x:c>
      <x:c r="I194" s="12" t="str">
        <x:v>Basket of cryptocurrencies</x:v>
      </x:c>
      <x:c r="J194" s="12" t="str">
        <x:v>Model-driven</x:v>
      </x:c>
      <x:c r="K194" s="12" t="str">
        <x:v>Yes</x:v>
      </x:c>
      <x:c r="L194" s="12" t="str">
        <x:v>Derived/conditional</x:v>
      </x:c>
      <x:c r="M194" s="12" t="str">
        <x:v>Intraday-Months</x:v>
      </x:c>
      <x:c r="N194" s="12" t="str">
        <x:v>Model-specific</x:v>
      </x:c>
      <x:c r="O194" s="12" t="str">
        <x:v>Allocate positive weights to favored assets.</x:v>
      </x:c>
      <x:c r="P194" s="12" t="str">
        <x:v>Derived extension: allow negative weights only in separately constrained long-short environment.</x:v>
      </x:c>
      <x:c r="Q194" s="12" t="str">
        <x:v>Continuous rebalance policy.</x:v>
      </x:c>
      <x:c r="R194" s="12" t="str">
        <x:v>CNN/RNN/LSTM; portfolio-vector memory; 30m horizon</x:v>
      </x:c>
      <x:c r="S194" s="12" t="str">
        <x:v>Chronological market data; features; training infrastructure</x:v>
      </x:c>
      <x:c r="T194" s="12" t="str">
        <x:v>Must use purged/chronological validation, frozen final holdout, costs, and deterministic seeds/artifacts.</x:v>
      </x:c>
      <x:c r="U194" s="12" t="str">
        <x:v>Severe overfit/leakage risk; research result is not deployment evidence.</x:v>
      </x:c>
      <x:c r="V194" s="12" t="str">
        <x:v>Low</x:v>
      </x:c>
      <x:c r="W194" s="12" t="str">
        <x:v>C</x:v>
      </x:c>
      <x:c r="X194" s="12" t="str">
        <x:v>https://arxiv.org/abs/1706.10059</x:v>
      </x:c>
      <x:c r="Y194" s="12" t="str">
        <x:v>2026-10-07</x:v>
      </x:c>
      <x:c r="Z194" s="12" t="str">
        <x:v>Research-only until classical baselines and data pipeline are stable.</x:v>
      </x:c>
    </x:row>
    <x:row r="195" ht="48" customHeight="1">
      <x:c r="A195" s="12" t="str">
        <x:v>EXT-194</x:v>
      </x:c>
      <x:c r="B195" s="12" t="str">
        <x:v>Deep RL Long-Short Portfolio Optimization</x:v>
      </x:c>
      <x:c r="C195" s="12" t="str">
        <x:v>ML / Reinforcement Learning</x:v>
      </x:c>
      <x:c r="D195" s="12" t="str">
        <x:v>Papers With Code</x:v>
      </x:c>
      <x:c r="E195" s="12" t="str">
        <x:v>ML research</x:v>
      </x:c>
      <x:c r="F195" s="12" t="str">
        <x:v>Research concept / implementation candidate</x:v>
      </x:c>
      <x:c r="G195" s="14" t="n">
        <x:v>0.82</x:v>
      </x:c>
      <x:c r="H195" s="12" t="str">
        <x:v>Equities</x:v>
      </x:c>
      <x:c r="I195" s="12" t="str">
        <x:v>China A-share universe; framework transferable</x:v>
      </x:c>
      <x:c r="J195" s="12" t="str">
        <x:v>Model-driven</x:v>
      </x:c>
      <x:c r="K195" s="12" t="str">
        <x:v>Yes</x:v>
      </x:c>
      <x:c r="L195" s="12" t="str">
        <x:v>Yes</x:v>
      </x:c>
      <x:c r="M195" s="12" t="str">
        <x:v>Intraday-Months</x:v>
      </x:c>
      <x:c r="N195" s="12" t="str">
        <x:v>Model-specific</x:v>
      </x:c>
      <x:c r="O195" s="12" t="str">
        <x:v>Agent allocates positive weights to favored assets.</x:v>
      </x:c>
      <x:c r="P195" s="12" t="str">
        <x:v>Agent allocates short weights to weak/correlated hedge assets under short-selling constraints.</x:v>
      </x:c>
      <x:c r="Q195" s="12" t="str">
        <x:v>Continuous policy rebalance.</x:v>
      </x:c>
      <x:c r="R195" s="12" t="str">
        <x:v>State tensor; mean-Sharpe reward; short constraints</x:v>
      </x:c>
      <x:c r="S195" s="12" t="str">
        <x:v>Chronological market data; features; training infrastructure</x:v>
      </x:c>
      <x:c r="T195" s="12" t="str">
        <x:v>Must use purged/chronological validation, frozen final holdout, costs, and deterministic seeds/artifacts.</x:v>
      </x:c>
      <x:c r="U195" s="12" t="str">
        <x:v>Severe overfit/leakage risk; research result is not deployment evidence.</x:v>
      </x:c>
      <x:c r="V195" s="12" t="str">
        <x:v>Low</x:v>
      </x:c>
      <x:c r="W195" s="12" t="str">
        <x:v>C</x:v>
      </x:c>
      <x:c r="X195" s="12" t="str">
        <x:v>https://paperswithcode.com/paper/deep-reinforcement-learning-for-portfolio</x:v>
      </x:c>
      <x:c r="Y195" s="12" t="str">
        <x:v>2026-10-07</x:v>
      </x:c>
      <x:c r="Z195" s="12" t="str">
        <x:v>Research-only until classical baselines and data pipeline are stable.</x:v>
      </x:c>
    </x:row>
    <x:row r="196" ht="48" customHeight="1">
      <x:c r="A196" s="12" t="str">
        <x:v>EXT-195</x:v>
      </x:c>
      <x:c r="B196" s="12" t="str">
        <x:v>Transformer DRL + Black-Litterman Long/Short</x:v>
      </x:c>
      <x:c r="C196" s="12" t="str">
        <x:v>ML / Reinforcement Learning</x:v>
      </x:c>
      <x:c r="D196" s="12" t="str">
        <x:v>Papers With Code</x:v>
      </x:c>
      <x:c r="E196" s="12" t="str">
        <x:v>ML research</x:v>
      </x:c>
      <x:c r="F196" s="12" t="str">
        <x:v>Research concept / implementation candidate</x:v>
      </x:c>
      <x:c r="G196" s="14" t="n">
        <x:v>0.82</x:v>
      </x:c>
      <x:c r="H196" s="12" t="str">
        <x:v>Equities</x:v>
      </x:c>
      <x:c r="I196" s="12" t="str">
        <x:v>Dow Jones 30</x:v>
      </x:c>
      <x:c r="J196" s="12" t="str">
        <x:v>Model-driven</x:v>
      </x:c>
      <x:c r="K196" s="12" t="str">
        <x:v>Yes</x:v>
      </x:c>
      <x:c r="L196" s="12" t="str">
        <x:v>Yes</x:v>
      </x:c>
      <x:c r="M196" s="12" t="str">
        <x:v>Intraday-Months</x:v>
      </x:c>
      <x:c r="N196" s="12" t="str">
        <x:v>Model-specific</x:v>
      </x:c>
      <x:c r="O196" s="12" t="str">
        <x:v>Agent/BL combination assigns positive target weights.</x:v>
      </x:c>
      <x:c r="P196" s="12" t="str">
        <x:v>Assign negative weights where views/correlations support short exposure.</x:v>
      </x:c>
      <x:c r="Q196" s="12" t="str">
        <x:v>Dynamic re-optimization.</x:v>
      </x:c>
      <x:c r="R196" s="12" t="str">
        <x:v>Transformer DRL; BL views/covariance; leverage bounds</x:v>
      </x:c>
      <x:c r="S196" s="12" t="str">
        <x:v>Chronological market data; features; training infrastructure</x:v>
      </x:c>
      <x:c r="T196" s="12" t="str">
        <x:v>Must use purged/chronological validation, frozen final holdout, costs, and deterministic seeds/artifacts.</x:v>
      </x:c>
      <x:c r="U196" s="12" t="str">
        <x:v>Severe overfit/leakage risk; research result is not deployment evidence.</x:v>
      </x:c>
      <x:c r="V196" s="12" t="str">
        <x:v>Low</x:v>
      </x:c>
      <x:c r="W196" s="12" t="str">
        <x:v>C</x:v>
      </x:c>
      <x:c r="X196" s="12" t="str">
        <x:v>https://paperswithcode.com/paper/combining-transformer-based-deep</x:v>
      </x:c>
      <x:c r="Y196" s="12" t="str">
        <x:v>2026-10-07</x:v>
      </x:c>
      <x:c r="Z196" s="12" t="str">
        <x:v>Research-only until classical baselines and data pipeline are stable.</x:v>
      </x:c>
    </x:row>
    <x:row r="197" ht="48" customHeight="1">
      <x:c r="A197" s="12" t="str">
        <x:v>EXT-196</x:v>
      </x:c>
      <x:c r="B197" s="12" t="str">
        <x:v>StockNet Text+Price Directional Classifier</x:v>
      </x:c>
      <x:c r="C197" s="12" t="str">
        <x:v>ML / NLP</x:v>
      </x:c>
      <x:c r="D197" s="12" t="str">
        <x:v>Papers With Code</x:v>
      </x:c>
      <x:c r="E197" s="12" t="str">
        <x:v>ML research</x:v>
      </x:c>
      <x:c r="F197" s="12" t="str">
        <x:v>Research concept / implementation candidate</x:v>
      </x:c>
      <x:c r="G197" s="14" t="n">
        <x:v>0.82</x:v>
      </x:c>
      <x:c r="H197" s="12" t="str">
        <x:v>Equities</x:v>
      </x:c>
      <x:c r="I197" s="12" t="str">
        <x:v>88-stock StockNet-style universe; later broad equities</x:v>
      </x:c>
      <x:c r="J197" s="12" t="str">
        <x:v>Model-driven</x:v>
      </x:c>
      <x:c r="K197" s="12" t="str">
        <x:v>Yes</x:v>
      </x:c>
      <x:c r="L197" s="12" t="str">
        <x:v>Yes</x:v>
      </x:c>
      <x:c r="M197" s="12" t="str">
        <x:v>Intraday-Months</x:v>
      </x:c>
      <x:c r="N197" s="12" t="str">
        <x:v>Model-specific</x:v>
      </x:c>
      <x:c r="O197" s="12" t="str">
        <x:v>Long when causal text+price model predicts upward movement.</x:v>
      </x:c>
      <x:c r="P197" s="12" t="str">
        <x:v>Short when predicts downward movement.</x:v>
      </x:c>
      <x:c r="Q197" s="12" t="str">
        <x:v>Fixed prediction horizon / next signal.</x:v>
      </x:c>
      <x:c r="R197" s="12" t="str">
        <x:v>Tweet/news embeddings; price history; latent recurrent model</x:v>
      </x:c>
      <x:c r="S197" s="12" t="str">
        <x:v>Chronological market data; features; training infrastructure</x:v>
      </x:c>
      <x:c r="T197" s="12" t="str">
        <x:v>Must use purged/chronological validation, frozen final holdout, costs, and deterministic seeds/artifacts.</x:v>
      </x:c>
      <x:c r="U197" s="12" t="str">
        <x:v>Severe overfit/leakage risk; research result is not deployment evidence.</x:v>
      </x:c>
      <x:c r="V197" s="12" t="str">
        <x:v>Low</x:v>
      </x:c>
      <x:c r="W197" s="12" t="str">
        <x:v>C</x:v>
      </x:c>
      <x:c r="X197" s="12" t="str">
        <x:v>https://paperswithcode.com/paper/stock-movement-prediction-from-tweets-and</x:v>
      </x:c>
      <x:c r="Y197" s="12" t="str">
        <x:v>2026-10-07</x:v>
      </x:c>
      <x:c r="Z197" s="12" t="str">
        <x:v>Research-only until classical baselines and data pipeline are stable.</x:v>
      </x:c>
    </x:row>
    <x:row r="198" ht="48" customHeight="1">
      <x:c r="A198" s="12" t="str">
        <x:v>EXT-197</x:v>
      </x:c>
      <x:c r="B198" s="12" t="str">
        <x:v>Multimodal Price+Sentiment+News Portfolio Agent</x:v>
      </x:c>
      <x:c r="C198" s="12" t="str">
        <x:v>ML / Multimodal</x:v>
      </x:c>
      <x:c r="D198" s="12" t="str">
        <x:v>Papers With Code</x:v>
      </x:c>
      <x:c r="E198" s="12" t="str">
        <x:v>ML research</x:v>
      </x:c>
      <x:c r="F198" s="12" t="str">
        <x:v>Research concept / implementation candidate</x:v>
      </x:c>
      <x:c r="G198" s="14" t="n">
        <x:v>0.82</x:v>
      </x:c>
      <x:c r="H198" s="12" t="str">
        <x:v>Equities</x:v>
      </x:c>
      <x:c r="I198" s="12" t="str">
        <x:v>S&amp;P100-style universe</x:v>
      </x:c>
      <x:c r="J198" s="12" t="str">
        <x:v>Model-driven</x:v>
      </x:c>
      <x:c r="K198" s="12" t="str">
        <x:v>Yes</x:v>
      </x:c>
      <x:c r="L198" s="12" t="str">
        <x:v>Yes</x:v>
      </x:c>
      <x:c r="M198" s="12" t="str">
        <x:v>Intraday-Months</x:v>
      </x:c>
      <x:c r="N198" s="12" t="str">
        <x:v>Model-specific</x:v>
      </x:c>
      <x:c r="O198" s="12" t="str">
        <x:v>Long assets with positive policy weights from prices/sentiment/news.</x:v>
      </x:c>
      <x:c r="P198" s="12" t="str">
        <x:v>Short extension requires constrained negative weights as separate model.</x:v>
      </x:c>
      <x:c r="Q198" s="12" t="str">
        <x:v>Policy rebalance.</x:v>
      </x:c>
      <x:c r="R198" s="12" t="str">
        <x:v>Price features; sentiment; topic embeddings; RL policy</x:v>
      </x:c>
      <x:c r="S198" s="12" t="str">
        <x:v>Chronological market data; features; training infrastructure</x:v>
      </x:c>
      <x:c r="T198" s="12" t="str">
        <x:v>Must use purged/chronological validation, frozen final holdout, costs, and deterministic seeds/artifacts.</x:v>
      </x:c>
      <x:c r="U198" s="12" t="str">
        <x:v>Severe overfit/leakage risk; research result is not deployment evidence.</x:v>
      </x:c>
      <x:c r="V198" s="12" t="str">
        <x:v>Low</x:v>
      </x:c>
      <x:c r="W198" s="12" t="str">
        <x:v>C</x:v>
      </x:c>
      <x:c r="X198" s="12" t="str">
        <x:v>https://paperswithcode.com/author/james-zhang</x:v>
      </x:c>
      <x:c r="Y198" s="12" t="str">
        <x:v>2026-10-07</x:v>
      </x:c>
      <x:c r="Z198" s="12" t="str">
        <x:v>Research-only until classical baselines and data pipeline are stable.</x:v>
      </x:c>
    </x:row>
    <x:row r="199" ht="48" customHeight="1">
      <x:c r="A199" s="12" t="str">
        <x:v>EXT-198</x:v>
      </x:c>
      <x:c r="B199" s="12" t="str">
        <x:v>High-Frequency DRL Portfolio Management</x:v>
      </x:c>
      <x:c r="C199" s="12" t="str">
        <x:v>ML / Reinforcement Learning</x:v>
      </x:c>
      <x:c r="D199" s="12" t="str">
        <x:v>Papers With Code</x:v>
      </x:c>
      <x:c r="E199" s="12" t="str">
        <x:v>ML research</x:v>
      </x:c>
      <x:c r="F199" s="12" t="str">
        <x:v>Research concept / implementation candidate</x:v>
      </x:c>
      <x:c r="G199" s="14" t="n">
        <x:v>0.82</x:v>
      </x:c>
      <x:c r="H199" s="12" t="str">
        <x:v>Multi-Asset</x:v>
      </x:c>
      <x:c r="I199" s="12" t="str">
        <x:v>High-frequency portfolio datasets</x:v>
      </x:c>
      <x:c r="J199" s="12" t="str">
        <x:v>Model-driven</x:v>
      </x:c>
      <x:c r="K199" s="12" t="str">
        <x:v>Yes</x:v>
      </x:c>
      <x:c r="L199" s="12" t="str">
        <x:v>Derived/conditional</x:v>
      </x:c>
      <x:c r="M199" s="12" t="str">
        <x:v>Intraday-Months</x:v>
      </x:c>
      <x:c r="N199" s="12" t="str">
        <x:v>Model-specific</x:v>
      </x:c>
      <x:c r="O199" s="12" t="str">
        <x:v>Long positive target weights under model policy.</x:v>
      </x:c>
      <x:c r="P199" s="12" t="str">
        <x:v>Short extension if environment supports negative weights; otherwise derived research branch.</x:v>
      </x:c>
      <x:c r="Q199" s="12" t="str">
        <x:v>High-frequency policy rebalance subject to turnover penalty.</x:v>
      </x:c>
      <x:c r="R199" s="12" t="str">
        <x:v>Transformer/attention policy; turnover penalty</x:v>
      </x:c>
      <x:c r="S199" s="12" t="str">
        <x:v>Chronological market data; features; training infrastructure</x:v>
      </x:c>
      <x:c r="T199" s="12" t="str">
        <x:v>Must use purged/chronological validation, frozen final holdout, costs, and deterministic seeds/artifacts.</x:v>
      </x:c>
      <x:c r="U199" s="12" t="str">
        <x:v>Severe overfit/leakage risk; research result is not deployment evidence.</x:v>
      </x:c>
      <x:c r="V199" s="12" t="str">
        <x:v>Low</x:v>
      </x:c>
      <x:c r="W199" s="12" t="str">
        <x:v>C</x:v>
      </x:c>
      <x:c r="X199" s="12" t="str">
        <x:v>https://paperswithcode.com/paper/online-portfolio-management-via-deep</x:v>
      </x:c>
      <x:c r="Y199" s="12" t="str">
        <x:v>2026-10-07</x:v>
      </x:c>
      <x:c r="Z199" s="12" t="str">
        <x:v>Research-only until classical baselines and data pipeline are stable.</x:v>
      </x:c>
    </x:row>
    <x:row r="200" ht="48" customHeight="1">
      <x:c r="A200" s="12" t="str">
        <x:v>EXT-199</x:v>
      </x:c>
      <x:c r="B200" s="12" t="str">
        <x:v>2D Relative-Attentional Transformer Portfolio Optimizer</x:v>
      </x:c>
      <x:c r="C200" s="12" t="str">
        <x:v>ML / Transformer</x:v>
      </x:c>
      <x:c r="D200" s="12" t="str">
        <x:v>Papers With Code</x:v>
      </x:c>
      <x:c r="E200" s="12" t="str">
        <x:v>ML research</x:v>
      </x:c>
      <x:c r="F200" s="12" t="str">
        <x:v>Research concept / implementation candidate</x:v>
      </x:c>
      <x:c r="G200" s="14" t="n">
        <x:v>0.82</x:v>
      </x:c>
      <x:c r="H200" s="12" t="str">
        <x:v>Equities</x:v>
      </x:c>
      <x:c r="I200" s="12" t="str">
        <x:v>Long-history US stock universe</x:v>
      </x:c>
      <x:c r="J200" s="12" t="str">
        <x:v>Model-driven</x:v>
      </x:c>
      <x:c r="K200" s="12" t="str">
        <x:v>Yes</x:v>
      </x:c>
      <x:c r="L200" s="12" t="str">
        <x:v>Derived/conditional</x:v>
      </x:c>
      <x:c r="M200" s="12" t="str">
        <x:v>Intraday-Months</x:v>
      </x:c>
      <x:c r="N200" s="12" t="str">
        <x:v>Model-specific</x:v>
      </x:c>
      <x:c r="O200" s="12" t="str">
        <x:v>Long assets with highest model target weights.</x:v>
      </x:c>
      <x:c r="P200" s="12" t="str">
        <x:v>Derived long-short variant assigns negative weights to lowest-scored assets under leverage/borrow constraints.</x:v>
      </x:c>
      <x:c r="Q200" s="12" t="str">
        <x:v>Periodic model rebalance.</x:v>
      </x:c>
      <x:c r="R200" s="12" t="str">
        <x:v>Transformer architecture; allocation constraints</x:v>
      </x:c>
      <x:c r="S200" s="12" t="str">
        <x:v>Chronological market data; features; training infrastructure</x:v>
      </x:c>
      <x:c r="T200" s="12" t="str">
        <x:v>Must use purged/chronological validation, frozen final holdout, costs, and deterministic seeds/artifacts.</x:v>
      </x:c>
      <x:c r="U200" s="12" t="str">
        <x:v>Severe overfit/leakage risk; research result is not deployment evidence.</x:v>
      </x:c>
      <x:c r="V200" s="12" t="str">
        <x:v>Low</x:v>
      </x:c>
      <x:c r="W200" s="12" t="str">
        <x:v>C</x:v>
      </x:c>
      <x:c r="X200" s="12" t="str">
        <x:v>https://paperswithcode.com/paper/portfolio-optimization-with-2d-relative</x:v>
      </x:c>
      <x:c r="Y200" s="12" t="str">
        <x:v>2026-10-07</x:v>
      </x:c>
      <x:c r="Z200" s="12" t="str">
        <x:v>Research-only until classical baselines and data pipeline are stable.</x:v>
      </x:c>
    </x:row>
    <x:row r="201" ht="48" customHeight="1">
      <x:c r="A201" s="12" t="str">
        <x:v>EXT-200</x:v>
      </x:c>
      <x:c r="B201" s="12" t="str">
        <x:v>MA 1h/4h Trend + RSI&lt;40; TP 8% / SL 2%; 15m</x:v>
      </x:c>
      <x:c r="C201" s="12" t="str">
        <x:v>Trend-Pullback / RSI</x:v>
      </x:c>
      <x:c r="D201" s="12" t="str">
        <x:v>iftrades</x:v>
      </x:c>
      <x:c r="E201" s="12" t="str">
        <x:v>Commercial strategy/backtest platform</x:v>
      </x:c>
      <x:c r="F201" s="12" t="str">
        <x:v>User-supplied public leaderboard screenshot; rule name only</x:v>
      </x:c>
      <x:c r="G201" s="14" t="n">
        <x:v>0.86</x:v>
      </x:c>
      <x:c r="H201" s="12" t="str">
        <x:v>Crypto</x:v>
      </x:c>
      <x:c r="I201" s="12" t="str">
        <x:v>BTCUSD in screenshot; test other liquid assets only as separate variants</x:v>
      </x:c>
      <x:c r="J201" s="12" t="str">
        <x:v>Long shown; short mirror derived</x:v>
      </x:c>
      <x:c r="K201" s="12" t="str">
        <x:v>Yes</x:v>
      </x:c>
      <x:c r="L201" s="12" t="str">
        <x:v>Derived mirror</x:v>
      </x:c>
      <x:c r="M201" s="12" t="str">
        <x:v>Intraday-Swing</x:v>
      </x:c>
      <x:c r="N201" s="12" t="str">
        <x:v>15m signals with 1h/4h trend context</x:v>
      </x:c>
      <x:c r="O201" s="12" t="str">
        <x:v>Long when 1h/4h MA trend filter is bullish and RSI below 40; exact MA definitions require platform inspection.</x:v>
      </x:c>
      <x:c r="P201" s="12" t="str">
        <x:v>Derived: bearish 1h/4h MA trend and RSI above symmetric threshold (e.g. 60) ONLY as a separately registered mirror candidate.</x:v>
      </x:c>
      <x:c r="Q201" s="12" t="str">
        <x:v>TP 8% / SL 2% as shown; exact fill semantics should follow independent MQD model.</x:v>
      </x:c>
      <x:c r="R201" s="12" t="str">
        <x:v>MA definitions unknown; RSI threshold 40; TP8%; SL2%; 15m</x:v>
      </x:c>
      <x:c r="S201" s="12" t="str">
        <x:v>BTCUSD OHLCV; higher-timeframe bars</x:v>
      </x:c>
      <x:c r="T201" s="12" t="str">
        <x:v>Do not reuse iftrades reported return as evidence; independently reproduce with MQD causal execution.</x:v>
      </x:c>
      <x:c r="U201" s="12" t="str">
        <x:v>Leaderboard selection bias, only 3 trades visible in screenshot, parameter ambiguity.</x:v>
      </x:c>
      <x:c r="V201" s="12" t="str">
        <x:v>Medium</x:v>
      </x:c>
      <x:c r="W201" s="12" t="str">
        <x:v>B</x:v>
      </x:c>
      <x:c r="X201" s="12" t="str">
        <x:v>https://iftrades.com/</x:v>
      </x:c>
      <x:c r="Y201" s="12" t="str">
        <x:v>2026-10-07</x:v>
      </x:c>
      <x:c r="Z201" s="12" t="str">
        <x:v>Source snapshot only; exact platform strategy export would be preferable later.</x:v>
      </x:c>
    </x:row>
  </x:sheetData>
  <x:conditionalFormatting sqref="V2:V201">
    <x:cfRule type="expression" dxfId="0" priority="1">
      <x:formula>V2="High"</x:formula>
    </x:cfRule>
    <x:cfRule type="expression" dxfId="1" priority="2">
      <x:formula>V2="Medium"</x:formula>
    </x:cfRule>
    <x:cfRule type="expression" dxfId="2" priority="3">
      <x:formula>V2="Low"</x:formula>
    </x:cfRule>
  </x:conditionalFormatting>
  <x:conditionalFormatting sqref="W2:W201">
    <x:cfRule type="expression" dxfId="3" priority="4">
      <x:formula>W2="A"</x:formula>
    </x:cfRule>
    <x:cfRule type="expression" dxfId="4" priority="5">
      <x:formula>W2="B"</x:formula>
    </x:cfRule>
    <x:cfRule type="expression" dxfId="5" priority="6">
      <x:formula>W2="C"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00ca3204af41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28" hidden="0" customWidth="1"/>
    <x:col min="5" max="5" width="16" hidden="0" customWidth="1"/>
  </x:cols>
  <x:sheetData>
    <x:row r="1">
      <x:c r="A1" s="19" t="str">
        <x:v>MQD External Strategy Idea Catalog — Intake Snapshot</x:v>
      </x:c>
      <x:c r="B1" s="19"/>
      <x:c r="C1" s="19"/>
      <x:c r="D1" s="19"/>
      <x:c r="E1" s="19"/>
      <x:c r="F1" s="19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4">
      <x:c r="A4" s="6" t="str">
        <x:v>KPI</x:v>
      </x:c>
      <x:c r="B4" s="6" t="str">
        <x:v>Value</x:v>
      </x:c>
      <x:c r="D4" s="6" t="str">
        <x:v>Asset Class</x:v>
      </x:c>
      <x:c r="E4" s="6" t="str">
        <x:v>Candidate Count</x:v>
      </x:c>
    </x:row>
    <x:row r="5">
      <x:c r="A5" s="12" t="str">
        <x:v>Total candidates</x:v>
      </x:c>
      <x:c r="B5" s="12" t="n">
        <x:f>COUNTA(Strategy_Catalog!A2:A1000)</x:f>
        <x:v>200</x:v>
      </x:c>
      <x:c r="D5" s="12" t="str">
        <x:v>Country ETFs</x:v>
      </x:c>
      <x:c r="E5" s="12" t="n">
        <x:f>COUNTIF(Strategy_Catalog!H2:H1000,D5)</x:f>
        <x:v>5</x:v>
      </x:c>
    </x:row>
    <x:row r="6">
      <x:c r="A6" s="12" t="str">
        <x:v>Direct long-test candidates</x:v>
      </x:c>
      <x:c r="B6" s="12" t="n">
        <x:f>COUNTIF(Strategy_Catalog!K2:K1000,"Yes")</x:f>
        <x:v>175</x:v>
      </x:c>
      <x:c r="D6" s="12" t="str">
        <x:v>Cross-Asset</x:v>
      </x:c>
      <x:c r="E6" s="12" t="n">
        <x:f>COUNTIF(Strategy_Catalog!H2:H1000,D6)</x:f>
        <x:v>7</x:v>
      </x:c>
    </x:row>
    <x:row r="7">
      <x:c r="A7" s="12" t="str">
        <x:v>Direct short-test candidates</x:v>
      </x:c>
      <x:c r="B7" s="12" t="n">
        <x:f>COUNTIF(Strategy_Catalog!L2:L1000,"Yes")</x:f>
        <x:v>138</x:v>
      </x:c>
      <x:c r="D7" s="12" t="str">
        <x:v>Crypto</x:v>
      </x:c>
      <x:c r="E7" s="12" t="n">
        <x:f>COUNTIF(Strategy_Catalog!H2:H1000,D7)</x:f>
        <x:v>2</x:v>
      </x:c>
    </x:row>
    <x:row r="8">
      <x:c r="A8" s="12" t="str">
        <x:v>Derived/conditional short candidates</x:v>
      </x:c>
      <x:c r="B8" s="12" t="n">
        <x:f>COUNTIF(Strategy_Catalog!L2:L1000,"Derived mirror")+COUNTIF(Strategy_Catalog!L2:L1000,"Derived short control")+COUNTIF(Strategy_Catalog!L2:L1000,"Derived short/relative")+COUNTIF(Strategy_Catalog!L2:L1000,"Derived short")+COUNTIF(Strategy_Catalog!L2:L1000,"Derived long-short")+COUNTIF(Strategy_Catalog!L2:L1000,"Derived/hedge")+COUNTIF(Strategy_Catalog!L2:L1000,"Derived")+COUNTIF(Strategy_Catalog!L2:L1000,"Derived/conditional")</x:f>
        <x:v>37</x:v>
      </x:c>
      <x:c r="D8" s="12" t="str">
        <x:v>ETF</x:v>
      </x:c>
      <x:c r="E8" s="12" t="n">
        <x:f>COUNTIF(Strategy_Catalog!H2:H1000,D8)</x:f>
        <x:v>2</x:v>
      </x:c>
    </x:row>
    <x:row r="9">
      <x:c r="A9" s="12" t="str">
        <x:v>High implementation readiness</x:v>
      </x:c>
      <x:c r="B9" s="12" t="n">
        <x:f>COUNTIF(Strategy_Catalog!V2:V1000,"High")</x:f>
        <x:v>99</x:v>
      </x:c>
      <x:c r="D9" s="12" t="str">
        <x:v>ETFs</x:v>
      </x:c>
      <x:c r="E9" s="12" t="n">
        <x:f>COUNTIF(Strategy_Catalog!H2:H1000,D9)</x:f>
        <x:v>5</x:v>
      </x:c>
    </x:row>
    <x:row r="10">
      <x:c r="A10" s="12" t="str">
        <x:v>Priority A research candidates</x:v>
      </x:c>
      <x:c r="B10" s="12" t="n">
        <x:f>COUNTIF(Strategy_Catalog!W2:W1000,"A")</x:f>
        <x:v>89</x:v>
      </x:c>
      <x:c r="D10" s="12" t="str">
        <x:v>Equities</x:v>
      </x:c>
      <x:c r="E10" s="12" t="n">
        <x:f>COUNTIF(Strategy_Catalog!H2:H1000,D10)</x:f>
        <x:v>86</x:v>
      </x:c>
    </x:row>
    <x:row r="11">
      <x:c r="D11" s="12" t="str">
        <x:v>Equities + Oil</x:v>
      </x:c>
      <x:c r="E11" s="12" t="n">
        <x:f>COUNTIF(Strategy_Catalog!H2:H1000,D11)</x:f>
        <x:v>1</x:v>
      </x:c>
    </x:row>
    <x:row r="12">
      <x:c r="D12" s="12" t="str">
        <x:v>Equities/Indices</x:v>
      </x:c>
      <x:c r="E12" s="12" t="n">
        <x:f>COUNTIF(Strategy_Catalog!H2:H1000,D12)</x:f>
        <x:v>4</x:v>
      </x:c>
    </x:row>
    <x:row r="13">
      <x:c r="D13" s="12" t="str">
        <x:v>Equities/Multi-Asset</x:v>
      </x:c>
      <x:c r="E13" s="12" t="n">
        <x:f>COUNTIF(Strategy_Catalog!H2:H1000,D13)</x:f>
        <x:v>2</x:v>
      </x:c>
    </x:row>
    <x:row r="14">
      <x:c r="A14" s="6" t="str">
        <x:v>Source</x:v>
      </x:c>
      <x:c r="B14" s="6" t="str">
        <x:v>Candidate Count</x:v>
      </x:c>
      <x:c r="D14" s="12" t="str">
        <x:v>Equity ETF</x:v>
      </x:c>
      <x:c r="E14" s="12" t="n">
        <x:f>COUNTIF(Strategy_Catalog!H2:H1000,D14)</x:f>
        <x:v>1</x:v>
      </x:c>
    </x:row>
    <x:row r="15">
      <x:c r="A15" s="12" t="str">
        <x:v>AQR research</x:v>
      </x:c>
      <x:c r="B15" s="12" t="n">
        <x:f>COUNTIF(Strategy_Catalog!D2:D1000,A15)</x:f>
        <x:v>4</x:v>
      </x:c>
      <x:c r="D15" s="12" t="str">
        <x:v>Equity ETF + T-Bills</x:v>
      </x:c>
      <x:c r="E15" s="12" t="n">
        <x:f>COUNTIF(Strategy_Catalog!H2:H1000,D15)</x:f>
        <x:v>1</x:v>
      </x:c>
    </x:row>
    <x:row r="16">
      <x:c r="A16" s="12" t="str">
        <x:v>Academic / SSRN</x:v>
      </x:c>
      <x:c r="B16" s="12" t="n">
        <x:f>COUNTIF(Strategy_Catalog!D2:D1000,A16)</x:f>
        <x:v>6</x:v>
      </x:c>
      <x:c r="D16" s="12" t="str">
        <x:v>Equity Index ETFs</x:v>
      </x:c>
      <x:c r="E16" s="12" t="n">
        <x:f>COUNTIF(Strategy_Catalog!H2:H1000,D16)</x:f>
        <x:v>1</x:v>
      </x:c>
    </x:row>
    <x:row r="17">
      <x:c r="A17" s="12" t="str">
        <x:v>AlgoBulls pyalgostrategypool (GitHub)</x:v>
      </x:c>
      <x:c r="B17" s="12" t="n">
        <x:f>COUNTIF(Strategy_Catalog!D2:D1000,A17)</x:f>
        <x:v>52</x:v>
      </x:c>
      <x:c r="D17" s="12" t="str">
        <x:v>FX</x:v>
      </x:c>
      <x:c r="E17" s="12" t="n">
        <x:f>COUNTIF(Strategy_Catalog!H2:H1000,D17)</x:f>
        <x:v>6</x:v>
      </x:c>
    </x:row>
    <x:row r="18">
      <x:c r="A18" s="12" t="str">
        <x:v>Alpha Architect research</x:v>
      </x:c>
      <x:c r="B18" s="12" t="n">
        <x:f>COUNTIF(Strategy_Catalog!D2:D1000,A18)</x:f>
        <x:v>2</x:v>
      </x:c>
      <x:c r="D18" s="12" t="str">
        <x:v>Futures</x:v>
      </x:c>
      <x:c r="E18" s="12" t="n">
        <x:f>COUNTIF(Strategy_Catalog!H2:H1000,D18)</x:f>
        <x:v>9</x:v>
      </x:c>
    </x:row>
    <x:row r="19">
      <x:c r="A19" s="12" t="str">
        <x:v>IBKR Campus</x:v>
      </x:c>
      <x:c r="B19" s="12" t="n">
        <x:f>COUNTIF(Strategy_Catalog!D2:D1000,A19)</x:f>
        <x:v>1</x:v>
      </x:c>
      <x:c r="D19" s="12" t="str">
        <x:v>Futures/FX</x:v>
      </x:c>
      <x:c r="E19" s="12" t="n">
        <x:f>COUNTIF(Strategy_Catalog!H2:H1000,D19)</x:f>
        <x:v>1</x:v>
      </x:c>
    </x:row>
    <x:row r="20">
      <x:c r="A20" s="12" t="str">
        <x:v>IBKR/QuantInsti</x:v>
      </x:c>
      <x:c r="B20" s="12" t="n">
        <x:f>COUNTIF(Strategy_Catalog!D2:D1000,A20)</x:f>
        <x:v>2</x:v>
      </x:c>
      <x:c r="D20" s="12" t="str">
        <x:v>Gold</x:v>
      </x:c>
      <x:c r="E20" s="12" t="n">
        <x:f>COUNTIF(Strategy_Catalog!H2:H1000,D20)</x:f>
        <x:v>1</x:v>
      </x:c>
    </x:row>
    <x:row r="21">
      <x:c r="A21" s="12" t="str">
        <x:v>Interactive Brokers Campus</x:v>
      </x:c>
      <x:c r="B21" s="12" t="n">
        <x:f>COUNTIF(Strategy_Catalog!D2:D1000,A21)</x:f>
        <x:v>4</x:v>
      </x:c>
      <x:c r="D21" s="12" t="str">
        <x:v>Leveraged ETFs</x:v>
      </x:c>
      <x:c r="E21" s="12" t="n">
        <x:f>COUNTIF(Strategy_Catalog!H2:H1000,D21)</x:f>
        <x:v>1</x:v>
      </x:c>
    </x:row>
    <x:row r="22">
      <x:c r="A22" s="12" t="str">
        <x:v>Papers With Code</x:v>
      </x:c>
      <x:c r="B22" s="12" t="n">
        <x:f>COUNTIF(Strategy_Catalog!D2:D1000,A22)</x:f>
        <x:v>6</x:v>
      </x:c>
      <x:c r="D22" s="12" t="str">
        <x:v>Multi-Asset</x:v>
      </x:c>
      <x:c r="E22" s="12" t="n">
        <x:f>COUNTIF(Strategy_Catalog!H2:H1000,D22)</x:f>
        <x:v>36</x:v>
      </x:c>
    </x:row>
    <x:row r="23">
      <x:c r="A23" s="12" t="str">
        <x:v>QuantConnect Strategy Library</x:v>
      </x:c>
      <x:c r="B23" s="12" t="n">
        <x:f>COUNTIF(Strategy_Catalog!D2:D1000,A23)</x:f>
        <x:v>83</x:v>
      </x:c>
      <x:c r="D23" s="12" t="str">
        <x:v>Options</x:v>
      </x:c>
      <x:c r="E23" s="12" t="n">
        <x:f>COUNTIF(Strategy_Catalog!H2:H1000,D23)</x:f>
        <x:v>25</x:v>
      </x:c>
    </x:row>
    <x:row r="24">
      <x:c r="A24" s="12" t="str">
        <x:v>QuantInsti</x:v>
      </x:c>
      <x:c r="B24" s="12" t="n">
        <x:f>COUNTIF(Strategy_Catalog!D2:D1000,A24)</x:f>
        <x:v>2</x:v>
      </x:c>
      <x:c r="D24" s="12" t="str">
        <x:v>REITs</x:v>
      </x:c>
      <x:c r="E24" s="12" t="n">
        <x:f>COUNTIF(Strategy_Catalog!H2:H1000,D24)</x:f>
        <x:v>1</x:v>
      </x:c>
    </x:row>
    <x:row r="25">
      <x:c r="A25" s="12" t="str">
        <x:v>Reddit community</x:v>
      </x:c>
      <x:c r="B25" s="12" t="n">
        <x:f>COUNTIF(Strategy_Catalog!D2:D1000,A25)</x:f>
        <x:v>15</x:v>
      </x:c>
      <x:c r="D25" s="12" t="str">
        <x:v>Sector ETFs</x:v>
      </x:c>
      <x:c r="E25" s="12" t="n">
        <x:f>COUNTIF(Strategy_Catalog!H2:H1000,D25)</x:f>
        <x:v>1</x:v>
      </x:c>
    </x:row>
    <x:row r="26">
      <x:c r="A26" s="12" t="str">
        <x:v>TradingView public strategy/indicator</x:v>
      </x:c>
      <x:c r="B26" s="12" t="n">
        <x:f>COUNTIF(Strategy_Catalog!D2:D1000,A26)</x:f>
        <x:v>20</x:v>
      </x:c>
      <x:c r="D26" s="12" t="str">
        <x:v>Style ETFs</x:v>
      </x:c>
      <x:c r="E26" s="12" t="n">
        <x:f>COUNTIF(Strategy_Catalog!H2:H1000,D26)</x:f>
        <x:v>1</x:v>
      </x:c>
    </x:row>
    <x:row r="27">
      <x:c r="A27" s="12" t="str">
        <x:v>arXiv</x:v>
      </x:c>
      <x:c r="B27" s="12" t="n">
        <x:f>COUNTIF(Strategy_Catalog!D2:D1000,A27)</x:f>
        <x:v>2</x:v>
      </x:c>
      <x:c r="D27" s="12" t="str">
        <x:v>Style ETFs/Equities</x:v>
      </x:c>
      <x:c r="E27" s="12" t="n">
        <x:f>COUNTIF(Strategy_Catalog!H2:H1000,D27)</x:f>
        <x:v>1</x:v>
      </x:c>
    </x:row>
    <x:row r="28">
      <x:c r="A28" s="12" t="str">
        <x:v>iftrades</x:v>
      </x:c>
      <x:c r="B28" s="12" t="n">
        <x:f>COUNTIF(Strategy_Catalog!D2:D1000,A28)</x:f>
        <x:v>1</x:v>
      </x:c>
    </x:row>
    <x:row r="29">
      <x:c r="A29" s="27" t="str">
        <x:v>Interpretation: this workbook is a hypothesis intake catalog, not a list of validated edges. Priority is based on testability and fit with MQD research—not expected profitability. Source-native and derived mirror logic must be split into distinct immutable candidate identities before execution.</x:v>
      </x:c>
      <x:c r="B29" s="27"/>
      <x:c r="C29" s="27"/>
      <x:c r="D29" s="27"/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  <x:row r="31">
      <x:c r="A31" s="27"/>
      <x:c r="B31" s="27"/>
      <x:c r="C31" s="27"/>
      <x:c r="D31" s="27"/>
      <x:c r="E31" s="27"/>
      <x:c r="F31" s="27"/>
      <x:c r="G31" s="27"/>
      <x:c r="H31" s="27"/>
    </x:row>
    <x:row r="32">
      <x:c r="A32" s="27"/>
      <x:c r="B32" s="27"/>
      <x:c r="C32" s="27"/>
      <x:c r="D32" s="27"/>
      <x:c r="E32" s="27"/>
      <x:c r="F32" s="27"/>
      <x:c r="G32" s="27"/>
      <x:c r="H32" s="27"/>
    </x:row>
    <x:row r="33">
      <x:c r="A33" s="27"/>
      <x:c r="B33" s="27"/>
      <x:c r="C33" s="27"/>
      <x:c r="D33" s="27"/>
      <x:c r="E33" s="27"/>
      <x:c r="F33" s="27"/>
      <x:c r="G33" s="27"/>
      <x:c r="H33" s="27"/>
    </x:row>
  </x:sheetData>
  <x:mergeCells>
    <x:mergeCell ref="A1:H2"/>
    <x:mergeCell ref="A29:H33"/>
  </x:mergeCells>
  <x:pageMargins left="0.7" right="0.7" top="0.75" bottom="0.75" header="0.3" footer="0.3"/>
  <x:drawing xmlns:r="http://schemas.openxmlformats.org/officeDocument/2006/relationships" r:id="R4e3e03cf60954d94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52" hidden="0" customWidth="1"/>
    <x:col min="4" max="4" width="54" hidden="0" customWidth="1"/>
    <x:col min="5" max="5" width="30" hidden="0" customWidth="1"/>
    <x:col min="6" max="6" width="55" hidden="0" customWidth="1"/>
  </x:cols>
  <x:sheetData>
    <x:row r="1">
      <x:c r="A1" s="6" t="str">
        <x:v>Source_Group</x:v>
      </x:c>
      <x:c r="B1" s="6" t="str">
        <x:v>Type</x:v>
      </x:c>
      <x:c r="C1" s="6" t="str">
        <x:v>Primary_URL</x:v>
      </x:c>
      <x:c r="D1" s="6" t="str">
        <x:v>What_Was_Collected</x:v>
      </x:c>
      <x:c r="E1" s="6" t="str">
        <x:v>Reliability_for_Idea_Intake</x:v>
      </x:c>
      <x:c r="F1" s="6" t="str">
        <x:v>Main_Caution</x:v>
      </x:c>
    </x:row>
    <x:row r="2" ht="44" customHeight="1">
      <x:c r="A2" s="12" t="str">
        <x:v>QuantConnect Strategy Library</x:v>
      </x:c>
      <x:c r="B2" s="12" t="str">
        <x:v>Strategy library</x:v>
      </x:c>
      <x:c r="C2" s="12" t="str">
        <x:v>https://www.quantconnect.com/learning/articles/investment-strategy-library</x:v>
      </x:c>
      <x:c r="D2" s="12" t="str">
        <x:v>83 strategy summaries across equities, ETFs, futures, FX, options, factors, stat-arb, seasonality, ML.</x:v>
      </x:c>
      <x:c r="E2" s="12" t="str">
        <x:v>High for idea definitions</x:v>
      </x:c>
      <x:c r="F2" s="12" t="str">
        <x:v>Some library summaries are terse; two title/description mismatches are flagged.</x:v>
      </x:c>
    </x:row>
    <x:row r="3" ht="44" customHeight="1">
      <x:c r="A3" s="12" t="str">
        <x:v>AlgoBulls pyalgostrategypool</x:v>
      </x:c>
      <x:c r="B3" s="12" t="str">
        <x:v>Open-source GitHub repository</x:v>
      </x:c>
      <x:c r="C3" s="12" t="str">
        <x:v>https://github.com/algobulls/pyalgostrategypool</x:v>
      </x:c>
      <x:c r="D3" s="12" t="str">
        <x:v>52 named strategy implementations, including technical and options families.</x:v>
      </x:c>
      <x:c r="E3" s="12" t="str">
        <x:v>Medium-High for implementation leads</x:v>
      </x:c>
      <x:c r="F3" s="12" t="str">
        <x:v>Exact source code/defaults must be inspected before registration; repo code is not evidence of edge.</x:v>
      </x:c>
    </x:row>
    <x:row r="4" ht="44" customHeight="1">
      <x:c r="A4" s="12" t="str">
        <x:v>TradingView</x:v>
      </x:c>
      <x:c r="B4" s="12" t="str">
        <x:v>Public strategy/indicator descriptions</x:v>
      </x:c>
      <x:c r="C4" s="12" t="str">
        <x:v>https://www.tradingview.com/scripts/</x:v>
      </x:c>
      <x:c r="D4" s="12" t="str">
        <x:v>20 concrete long/short rule sets with technical logic.</x:v>
      </x:c>
      <x:c r="E4" s="12" t="str">
        <x:v>Medium for rule extraction</x:v>
      </x:c>
      <x:c r="F4" s="12" t="str">
        <x:v>Community publication and backtest claims are untrusted; code was not copied.</x:v>
      </x:c>
    </x:row>
    <x:row r="5" ht="44" customHeight="1">
      <x:c r="A5" s="12" t="str">
        <x:v>AQR</x:v>
      </x:c>
      <x:c r="B5" s="12" t="str">
        <x:v>Institutional research</x:v>
      </x:c>
      <x:c r="C5" s="12" t="str">
        <x:v>https://www.aqr.com/insights/research</x:v>
      </x:c>
      <x:c r="D5" s="12" t="str">
        <x:v>Trend, value/momentum, carry, QMJ/BAB-related research.</x:v>
      </x:c>
      <x:c r="E5" s="12" t="str">
        <x:v>High for research hypotheses</x:v>
      </x:c>
      <x:c r="F5" s="12" t="str">
        <x:v>Academic/institutional evidence still requires independent reproduction.</x:v>
      </x:c>
    </x:row>
    <x:row r="6" ht="44" customHeight="1">
      <x:c r="A6" s="12" t="str">
        <x:v>SSRN</x:v>
      </x:c>
      <x:c r="B6" s="12" t="str">
        <x:v>Academic papers</x:v>
      </x:c>
      <x:c r="C6" s="12" t="str">
        <x:v>https://papers.ssrn.com/</x:v>
      </x:c>
      <x:c r="D6" s="12" t="str">
        <x:v>Time-series momentum, BAB, QMJ, PEAD variants.</x:v>
      </x:c>
      <x:c r="E6" s="12" t="str">
        <x:v>High for hypothesis provenance</x:v>
      </x:c>
      <x:c r="F6" s="12" t="str">
        <x:v>Publication != deployable edge; costs and later contradictory literature matter.</x:v>
      </x:c>
    </x:row>
    <x:row r="7" ht="44" customHeight="1">
      <x:c r="A7" s="12" t="str">
        <x:v>Alpha Architect</x:v>
      </x:c>
      <x:c r="B7" s="12" t="str">
        <x:v>Research articles</x:v>
      </x:c>
      <x:c r="C7" s="12" t="str">
        <x:v>https://alphaarchitect.com/</x:v>
      </x:c>
      <x:c r="D7" s="12" t="str">
        <x:v>Value, momentum, trend and combined systematic allocation concepts.</x:v>
      </x:c>
      <x:c r="E7" s="12" t="str">
        <x:v>Medium-High</x:v>
      </x:c>
      <x:c r="F7" s="12" t="str">
        <x:v>Implementation details and investability must be independently specified.</x:v>
      </x:c>
    </x:row>
    <x:row r="8" ht="44" customHeight="1">
      <x:c r="A8" s="12" t="str">
        <x:v>Interactive Brokers Campus</x:v>
      </x:c>
      <x:c r="B8" s="12" t="str">
        <x:v>Broker education/research</x:v>
      </x:c>
      <x:c r="C8" s="12" t="str">
        <x:v>https://www.interactivebrokers.com/campus/</x:v>
      </x:c>
      <x:c r="D8" s="12" t="str">
        <x:v>Seasonality, pairs/stat-arb, trend-framework concepts.</x:v>
      </x:c>
      <x:c r="E8" s="12" t="str">
        <x:v>Medium-High</x:v>
      </x:c>
      <x:c r="F8" s="12" t="str">
        <x:v>Educational content may reproduce third-party research; not a broker performance guarantee.</x:v>
      </x:c>
    </x:row>
    <x:row r="9" ht="44" customHeight="1">
      <x:c r="A9" s="12" t="str">
        <x:v>QuantInsti/Quantra</x:v>
      </x:c>
      <x:c r="B9" s="12" t="str">
        <x:v>Quant education</x:v>
      </x:c>
      <x:c r="C9" s="12" t="str">
        <x:v>https://blog.quantinsti.com/</x:v>
      </x:c>
      <x:c r="D9" s="12" t="str">
        <x:v>Pairs trading, Kalman-filter pairs, basic system design.</x:v>
      </x:c>
      <x:c r="E9" s="12" t="str">
        <x:v>Medium</x:v>
      </x:c>
      <x:c r="F9" s="12" t="str">
        <x:v>Educational simplifications require production-grade execution modeling.</x:v>
      </x:c>
    </x:row>
    <x:row r="10" ht="44" customHeight="1">
      <x:c r="A10" s="12" t="str">
        <x:v>Reddit /r/algotrading</x:v>
      </x:c>
      <x:c r="B10" s="12" t="str">
        <x:v>Community discussion</x:v>
      </x:c>
      <x:c r="C10" s="12" t="str">
        <x:v>https://www.reddit.com/r/algotrading/</x:v>
      </x:c>
      <x:c r="D10" s="12" t="str">
        <x:v>Basic strategy families plus concrete ORB, VWAP-MR, BTC hybrid, funding-arb and breadth ideas.</x:v>
      </x:c>
      <x:c r="E10" s="12" t="str">
        <x:v>Low-Medium</x:v>
      </x:c>
      <x:c r="F10" s="12" t="str">
        <x:v>High selection/promotional bias; use as hypothesis generator only.</x:v>
      </x:c>
    </x:row>
    <x:row r="11" ht="44" customHeight="1">
      <x:c r="A11" s="12" t="str">
        <x:v>Papers With Code</x:v>
      </x:c>
      <x:c r="B11" s="12" t="str">
        <x:v>Research index</x:v>
      </x:c>
      <x:c r="C11" s="12" t="str">
        <x:v>https://paperswithcode.com/task/portfolio-optimization</x:v>
      </x:c>
      <x:c r="D11" s="12" t="str">
        <x:v>ML portfolio optimization, DRL long/short, text+price prediction.</x:v>
      </x:c>
      <x:c r="E11" s="12" t="str">
        <x:v>Medium for research leads</x:v>
      </x:c>
      <x:c r="F11" s="12" t="str">
        <x:v>Many studies have unrealistic execution/training assumptions.</x:v>
      </x:c>
    </x:row>
    <x:row r="12" ht="44" customHeight="1">
      <x:c r="A12" s="12" t="str">
        <x:v>arXiv</x:v>
      </x:c>
      <x:c r="B12" s="12" t="str">
        <x:v>Academic preprints</x:v>
      </x:c>
      <x:c r="C12" s="12" t="str">
        <x:v>https://arxiv.org/</x:v>
      </x:c>
      <x:c r="D12" s="12" t="str">
        <x:v>DRL multi-asset/futures and crypto portfolio concepts.</x:v>
      </x:c>
      <x:c r="E12" s="12" t="str">
        <x:v>Medium</x:v>
      </x:c>
      <x:c r="F12" s="12" t="str">
        <x:v>Preprints may be preliminary and require strong leakage controls.</x:v>
      </x:c>
    </x:row>
    <x:row r="13" ht="44" customHeight="1">
      <x:c r="A13" s="12" t="str">
        <x:v>iftrades</x:v>
      </x:c>
      <x:c r="B13" s="12" t="str">
        <x:v>Commercial strategy builder/leaderboard</x:v>
      </x:c>
      <x:c r="C13" s="12" t="str">
        <x:v>https://iftrades.com/</x:v>
      </x:c>
      <x:c r="D13" s="12" t="str">
        <x:v>One exact visible BTCUSD leaderboard rule from the supplied screenshot plus platform methodology context.</x:v>
      </x:c>
      <x:c r="E13" s="12" t="str">
        <x:v>Low-Medium</x:v>
      </x:c>
      <x:c r="F13" s="12" t="str">
        <x:v>Leaderboard winner selection/multiple testing; public site did not expose a full strategy export in search.</x:v>
      </x:c>
    </x:row>
  </x:sheetData>
  <x:pageMargins left="0.7" right="0.7" top="0.75" bottom="0.75" header="0.3" footer="0.3"/>
  <x:tableParts count="1">
    <x:tablePart xmlns:r="http://schemas.openxmlformats.org/officeDocument/2006/relationships" r:id="Raccee13286cf4d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28" hidden="0" customWidth="1"/>
    <x:col min="4" max="4" width="30" hidden="0" customWidth="1"/>
    <x:col min="5" max="5" width="54" hidden="0" customWidth="1"/>
    <x:col min="6" max="6" width="42" hidden="0" customWidth="1"/>
    <x:col min="7" max="7" width="20" hidden="0" customWidth="1"/>
  </x:cols>
  <x:sheetData>
    <x:row r="1">
      <x:c r="A1" s="6" t="str">
        <x:v>Asset_Sleeve</x:v>
      </x:c>
      <x:c r="B1" s="6" t="str">
        <x:v>Representative_Test_Universe</x:v>
      </x:c>
      <x:c r="C1" s="6" t="str">
        <x:v>Long_Mechanics</x:v>
      </x:c>
      <x:c r="D1" s="6" t="str">
        <x:v>Short_Mechanics</x:v>
      </x:c>
      <x:c r="E1" s="6" t="str">
        <x:v>Special_Costs_and_Constraints</x:v>
      </x:c>
      <x:c r="F1" s="6" t="str">
        <x:v>Data_Need</x:v>
      </x:c>
      <x:c r="G1" s="6" t="str">
        <x:v>MQD_Near_Term</x:v>
      </x:c>
    </x:row>
    <x:row r="2" ht="42" customHeight="1">
      <x:c r="A2" s="12" t="str">
        <x:v>US Equities</x:v>
      </x:c>
      <x:c r="B2" s="12" t="str">
        <x:v>All sufficiently liquid/price-screened US stocks; representative large caps</x:v>
      </x:c>
      <x:c r="C2" s="12" t="str">
        <x:v>Buy shares</x:v>
      </x:c>
      <x:c r="D2" s="12" t="str">
        <x:v>Borrow and short shares</x:v>
      </x:c>
      <x:c r="E2" s="12" t="str">
        <x:v>Borrow availability/fees, locate rules, dividends, halts, corporate actions</x:v>
      </x:c>
      <x:c r="F2" s="12" t="str">
        <x:v>Point-in-time universe, OHLCV, borrow if short</x:v>
      </x:c>
      <x:c r="G2" s="12" t="str">
        <x:v>PRIMARY</x:v>
      </x:c>
    </x:row>
    <x:row r="3" ht="42" customHeight="1">
      <x:c r="A3" s="12" t="str">
        <x:v>US ETFs</x:v>
      </x:c>
      <x:c r="B3" s="12" t="str">
        <x:v>SPY, QQQ, IWM, DIA, sector/style ETFs</x:v>
      </x:c>
      <x:c r="C3" s="12" t="str">
        <x:v>Buy ETF</x:v>
      </x:c>
      <x:c r="D3" s="12" t="str">
        <x:v>Short ETF / inverse proxy only as separate candidate</x:v>
      </x:c>
      <x:c r="E3" s="12" t="str">
        <x:v>Borrow, tracking error, distributions</x:v>
      </x:c>
      <x:c r="F3" s="12" t="str">
        <x:v>OHLCV + distributions</x:v>
      </x:c>
      <x:c r="G3" s="12" t="str">
        <x:v>PRIMARY</x:v>
      </x:c>
    </x:row>
    <x:row r="4" ht="42" customHeight="1">
      <x:c r="A4" s="12" t="str">
        <x:v>Country / International ETFs</x:v>
      </x:c>
      <x:c r="B4" s="12" t="str">
        <x:v>EFA, EEM and liquid country ETFs</x:v>
      </x:c>
      <x:c r="C4" s="12" t="str">
        <x:v>Buy ETF</x:v>
      </x:c>
      <x:c r="D4" s="12" t="str">
        <x:v>Short ETF</x:v>
      </x:c>
      <x:c r="E4" s="12" t="str">
        <x:v>FX embedded exposure, local-market holiday effects</x:v>
      </x:c>
      <x:c r="F4" s="12" t="str">
        <x:v>Adjusted prices + metadata</x:v>
      </x:c>
      <x:c r="G4" s="12" t="str">
        <x:v>SECONDARY</x:v>
      </x:c>
    </x:row>
    <x:row r="5" ht="42" customHeight="1">
      <x:c r="A5" s="12" t="str">
        <x:v>REITs</x:v>
      </x:c>
      <x:c r="B5" s="12" t="str">
        <x:v>VNQ plus liquid listed REITs</x:v>
      </x:c>
      <x:c r="C5" s="12" t="str">
        <x:v>Buy shares/ETF</x:v>
      </x:c>
      <x:c r="D5" s="12" t="str">
        <x:v>Short shares/ETF</x:v>
      </x:c>
      <x:c r="E5" s="12" t="str">
        <x:v>Dividend yield, rate sensitivity, borrow</x:v>
      </x:c>
      <x:c r="F5" s="12" t="str">
        <x:v>OHLCV + fundamentals/dividends</x:v>
      </x:c>
      <x:c r="G5" s="12" t="str">
        <x:v>SECONDARY</x:v>
      </x:c>
    </x:row>
    <x:row r="6" ht="42" customHeight="1">
      <x:c r="A6" s="12" t="str">
        <x:v>Equity Index Futures</x:v>
      </x:c>
      <x:c r="B6" s="12" t="str">
        <x:v>ES, NQ, RTY, YM / micros where available</x:v>
      </x:c>
      <x:c r="C6" s="12" t="str">
        <x:v>Long contracts</x:v>
      </x:c>
      <x:c r="D6" s="12" t="str">
        <x:v>Short contracts</x:v>
      </x:c>
      <x:c r="E6" s="12" t="str">
        <x:v>Margin, roll, session, tick value, expiry</x:v>
      </x:c>
      <x:c r="F6" s="12" t="str">
        <x:v>Continuous + contract-level data</x:v>
      </x:c>
      <x:c r="G6" s="12" t="str">
        <x:v>FUTURE EXPANSION</x:v>
      </x:c>
    </x:row>
    <x:row r="7" ht="42" customHeight="1">
      <x:c r="A7" s="12" t="str">
        <x:v>Commodity Futures</x:v>
      </x:c>
      <x:c r="B7" s="12" t="str">
        <x:v>CL, NG, GC, SI, HG, ZC, ZW, ZS and other liquid contracts</x:v>
      </x:c>
      <x:c r="C7" s="12" t="str">
        <x:v>Long contracts/spreads</x:v>
      </x:c>
      <x:c r="D7" s="12" t="str">
        <x:v>Short contracts/spreads</x:v>
      </x:c>
      <x:c r="E7" s="12" t="str">
        <x:v>Roll, delivery, limit moves, seasonality, contract specs</x:v>
      </x:c>
      <x:c r="F7" s="12" t="str">
        <x:v>Full futures curves + volume/OI</x:v>
      </x:c>
      <x:c r="G7" s="12" t="str">
        <x:v>FUTURE EXPANSION</x:v>
      </x:c>
    </x:row>
    <x:row r="8" ht="42" customHeight="1">
      <x:c r="A8" s="12" t="str">
        <x:v>Rates Futures / Bond ETFs</x:v>
      </x:c>
      <x:c r="B8" s="12" t="str">
        <x:v>ZN/ZB/ZF or IEF/TLT proxies</x:v>
      </x:c>
      <x:c r="C8" s="12" t="str">
        <x:v>Long contracts/ETF</x:v>
      </x:c>
      <x:c r="D8" s="12" t="str">
        <x:v>Short contracts/ETF</x:v>
      </x:c>
      <x:c r="E8" s="12" t="str">
        <x:v>Duration, roll, financing, macro event gaps</x:v>
      </x:c>
      <x:c r="F8" s="12" t="str">
        <x:v>Futures/ETF prices + rates</x:v>
      </x:c>
      <x:c r="G8" s="12" t="str">
        <x:v>FUTURE EXPANSION</x:v>
      </x:c>
    </x:row>
    <x:row r="9" ht="42" customHeight="1">
      <x:c r="A9" s="12" t="str">
        <x:v>Credit / Fixed Income ETFs</x:v>
      </x:c>
      <x:c r="B9" s="12" t="str">
        <x:v>HYG, LQD and liquid peers</x:v>
      </x:c>
      <x:c r="C9" s="12" t="str">
        <x:v>Buy ETF</x:v>
      </x:c>
      <x:c r="D9" s="12" t="str">
        <x:v>Short ETF</x:v>
      </x:c>
      <x:c r="E9" s="12" t="str">
        <x:v>Borrow, distributions, spread-duration effects</x:v>
      </x:c>
      <x:c r="F9" s="12" t="str">
        <x:v>Adjusted ETF prices + spreads if used</x:v>
      </x:c>
      <x:c r="G9" s="12" t="str">
        <x:v>FUTURE EXPANSION</x:v>
      </x:c>
    </x:row>
    <x:row r="10" ht="42" customHeight="1">
      <x:c r="A10" s="12" t="str">
        <x:v>FX</x:v>
      </x:c>
      <x:c r="B10" s="12" t="str">
        <x:v>Major USD pairs and liquid crosses</x:v>
      </x:c>
      <x:c r="C10" s="12" t="str">
        <x:v>Long base / short quote</x:v>
      </x:c>
      <x:c r="D10" s="12" t="str">
        <x:v>Short base / long quote</x:v>
      </x:c>
      <x:c r="E10" s="12" t="str">
        <x:v>Spread, rollover/swap, session liquidity</x:v>
      </x:c>
      <x:c r="F10" s="12" t="str">
        <x:v>Bid/ask or realistic bar data + rates</x:v>
      </x:c>
      <x:c r="G10" s="12" t="str">
        <x:v>FUTURE EXPANSION</x:v>
      </x:c>
    </x:row>
    <x:row r="11" ht="42" customHeight="1">
      <x:c r="A11" s="12" t="str">
        <x:v>Crypto Spot</x:v>
      </x:c>
      <x:c r="B11" s="12" t="str">
        <x:v>BTCUSD, ETHUSD and liquid provider-supported pairs</x:v>
      </x:c>
      <x:c r="C11" s="12" t="str">
        <x:v>Buy spot</x:v>
      </x:c>
      <x:c r="D11" s="12" t="str">
        <x:v>Short only where margin/borrow supported</x:v>
      </x:c>
      <x:c r="E11" s="12" t="str">
        <x:v>24/7 session, exchange fragmentation, fees, borrow</x:v>
      </x:c>
      <x:c r="F11" s="12" t="str">
        <x:v>Exchange-specific OHLCV/order book</x:v>
      </x:c>
      <x:c r="G11" s="12" t="str">
        <x:v>FUTURE EXPANSION</x:v>
      </x:c>
    </x:row>
    <x:row r="12" ht="42" customHeight="1">
      <x:c r="A12" s="12" t="str">
        <x:v>Crypto Perpetuals/Futures</x:v>
      </x:c>
      <x:c r="B12" s="12" t="str">
        <x:v>Liquid BTC/ETH/alt perpetuals</x:v>
      </x:c>
      <x:c r="C12" s="12" t="str">
        <x:v>Long perp/future</x:v>
      </x:c>
      <x:c r="D12" s="12" t="str">
        <x:v>Short perp/future</x:v>
      </x:c>
      <x:c r="E12" s="12" t="str">
        <x:v>Funding, liquidation, venue counterparty, basis</x:v>
      </x:c>
      <x:c r="F12" s="12" t="str">
        <x:v>Venue-specific prices + funding + OI</x:v>
      </x:c>
      <x:c r="G12" s="12" t="str">
        <x:v>FUTURE EXPANSION</x:v>
      </x:c>
    </x:row>
    <x:row r="13" ht="42" customHeight="1">
      <x:c r="A13" s="12" t="str">
        <x:v>Options</x:v>
      </x:c>
      <x:c r="B13" s="12" t="str">
        <x:v>SPY/QQQ/IWM and very liquid optionable equities</x:v>
      </x:c>
      <x:c r="C13" s="12" t="str">
        <x:v>Calls/spreads/long-vol structures</x:v>
      </x:c>
      <x:c r="D13" s="12" t="str">
        <x:v>Puts/spreads/short-vol structures</x:v>
      </x:c>
      <x:c r="E13" s="12" t="str">
        <x:v>Bid/ask, IV surface, assignment, exercise, dividends, margin</x:v>
      </x:c>
      <x:c r="F13" s="12" t="str">
        <x:v>Full point-in-time option chains + Greeks</x:v>
      </x:c>
      <x:c r="G13" s="12" t="str">
        <x:v>FUTURE EXPANSION</x:v>
      </x:c>
    </x:row>
    <x:row r="14" ht="42" customHeight="1">
      <x:c r="A14" s="12" t="str">
        <x:v>Volatility</x:v>
      </x:c>
      <x:c r="B14" s="12" t="str">
        <x:v>VIX futures/options and liquid vol proxies</x:v>
      </x:c>
      <x:c r="C14" s="12" t="str">
        <x:v>Long volatility structure</x:v>
      </x:c>
      <x:c r="D14" s="12" t="str">
        <x:v>Short volatility structure</x:v>
      </x:c>
      <x:c r="E14" s="12" t="str">
        <x:v>Convexity, roll, margin, gap/tail risk</x:v>
      </x:c>
      <x:c r="F14" s="12" t="str">
        <x:v>Full curve/options data</x:v>
      </x:c>
      <x:c r="G14" s="12" t="str">
        <x:v>FUTURE EXPANSION</x:v>
      </x:c>
    </x:row>
    <x:row r="15" ht="42" customHeight="1">
      <x:c r="A15" s="12" t="str">
        <x:v>Cross-Asset / Relative Value</x:v>
      </x:c>
      <x:c r="B15" s="12" t="str">
        <x:v>Pairs/baskets across compatible markets</x:v>
      </x:c>
      <x:c r="C15" s="12" t="str">
        <x:v>Long cheap/positive-signal leg</x:v>
      </x:c>
      <x:c r="D15" s="12" t="str">
        <x:v>Short rich/negative-signal leg</x:v>
      </x:c>
      <x:c r="E15" s="12" t="str">
        <x:v>Hedge ratios, currency conversion, synchronized clocks</x:v>
      </x:c>
      <x:c r="F15" s="12" t="str">
        <x:v>Cross-market synchronized data</x:v>
      </x:c>
      <x:c r="G15" s="12" t="str">
        <x:v>FUTURE EXPANSION</x:v>
      </x:c>
    </x:row>
  </x:sheetData>
  <x:pageMargins left="0.7" right="0.7" top="0.75" bottom="0.75" header="0.3" footer="0.3"/>
  <x:tableParts count="1">
    <x:tablePart xmlns:r="http://schemas.openxmlformats.org/officeDocument/2006/relationships" r:id="Rf0f78ba1952f40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105" hidden="0" customWidth="1"/>
    <x:col min="4" max="4" width="16" hidden="0" customWidth="1"/>
  </x:cols>
  <x:sheetData>
    <x:row r="1">
      <x:c r="A1" s="35" t="str">
        <x:v>MQD Guardrails Before Any Candidate Becomes Executable Research</x:v>
      </x:c>
      <x:c r="B1" s="35"/>
      <x:c r="C1" s="35"/>
      <x:c r="D1" s="35"/>
    </x:row>
    <x:row r="2">
      <x:c r="A2" s="35"/>
      <x:c r="B2" s="35"/>
      <x:c r="C2" s="35"/>
      <x:c r="D2" s="35"/>
    </x:row>
    <x:row r="4">
      <x:c r="A4" s="6" t="str">
        <x:v>#</x:v>
      </x:c>
      <x:c r="B4" s="6" t="str">
        <x:v>Invariant</x:v>
      </x:c>
      <x:c r="C4" s="6" t="str">
        <x:v>Operational Meaning</x:v>
      </x:c>
      <x:c r="D4" s="6" t="str">
        <x:v>Status</x:v>
      </x:c>
    </x:row>
    <x:row r="5" ht="44" customHeight="1">
      <x:c r="A5" s="12" t="str">
        <x:v>1</x:v>
      </x:c>
      <x:c r="B5" s="12" t="str">
        <x:v>INTAKE ≠ EVIDENCE</x:v>
      </x:c>
      <x:c r="C5" s="12" t="str">
        <x:v>Every row is an unverified hypothesis. Source rankings, screenshots, returns, win rates, Sharpe, or claims do not count as MQD proof.</x:v>
      </x:c>
      <x:c r="D5" s="43" t="str">
        <x:v>MANDATORY</x:v>
      </x:c>
    </x:row>
    <x:row r="6" ht="44" customHeight="1">
      <x:c r="A6" s="12" t="str">
        <x:v>2</x:v>
      </x:c>
      <x:c r="B6" s="12" t="str">
        <x:v>REGISTER BEFORE EVALUATION</x:v>
      </x:c>
      <x:c r="C6" s="12" t="str">
        <x:v>Create the candidate/hypothesis identity before looking at its MQD result. Winner-only registration is forbidden.</x:v>
      </x:c>
      <x:c r="D6" s="43" t="str">
        <x:v>MANDATORY</x:v>
      </x:c>
    </x:row>
    <x:row r="7" ht="44" customHeight="1">
      <x:c r="A7" s="12" t="str">
        <x:v>3</x:v>
      </x:c>
      <x:c r="B7" s="12" t="str">
        <x:v>SEMANTIC CHANGE = NEW ID</x:v>
      </x:c>
      <x:c r="C7" s="12" t="str">
        <x:v>Threshold, lookback, filter, asset universe, direction, exit, sizing, or economic logic changes create a new candidate/trial identity.</x:v>
      </x:c>
      <x:c r="D7" s="43" t="str">
        <x:v>MANDATORY</x:v>
      </x:c>
    </x:row>
    <x:row r="8" ht="44" customHeight="1">
      <x:c r="A8" s="12" t="str">
        <x:v>4</x:v>
      </x:c>
      <x:c r="B8" s="12" t="str">
        <x:v>SOURCE-NATIVE VS MIRROR</x:v>
      </x:c>
      <x:c r="C8" s="12" t="str">
        <x:v>Any derived short mirror or inverse version must be registered as a distinct candidate from the source-native long rule.</x:v>
      </x:c>
      <x:c r="D8" s="43" t="str">
        <x:v>MANDATORY</x:v>
      </x:c>
    </x:row>
    <x:row r="9" ht="44" customHeight="1">
      <x:c r="A9" s="12" t="str">
        <x:v>5</x:v>
      </x:c>
      <x:c r="B9" s="12" t="str">
        <x:v>NO RETRY-MANUFACTURED TRIALS</x:v>
      </x:c>
      <x:c r="C9" s="12" t="str">
        <x:v>Retries of the same deterministic evaluation do not become new trials; true semantic variants do.</x:v>
      </x:c>
      <x:c r="D9" s="43" t="str">
        <x:v>MANDATORY</x:v>
      </x:c>
    </x:row>
    <x:row r="10" ht="44" customHeight="1">
      <x:c r="A10" s="12" t="str">
        <x:v>6</x:v>
      </x:c>
      <x:c r="B10" s="12" t="str">
        <x:v>CAUSAL SIGNALS ONLY</x:v>
      </x:c>
      <x:c r="C10" s="12" t="str">
        <x:v>Use only information available at decision time; completed bars where specified; no look-ahead from centered filters, revised fundamentals, or later universe membership.</x:v>
      </x:c>
      <x:c r="D10" s="43" t="str">
        <x:v>MANDATORY</x:v>
      </x:c>
    </x:row>
    <x:row r="11" ht="44" customHeight="1">
      <x:c r="A11" s="12" t="str">
        <x:v>7</x:v>
      </x:c>
      <x:c r="B11" s="12" t="str">
        <x:v>NO FABRICATED SAME-BAR FILLS</x:v>
      </x:c>
      <x:c r="C11" s="12" t="str">
        <x:v>Signals do not imply executable fills. Model next executable price, spread, slippage, queue/limit behavior, and latency appropriate to asset class.</x:v>
      </x:c>
      <x:c r="D11" s="43" t="str">
        <x:v>MANDATORY</x:v>
      </x:c>
    </x:row>
    <x:row r="12" ht="44" customHeight="1">
      <x:c r="A12" s="12" t="str">
        <x:v>8</x:v>
      </x:c>
      <x:c r="B12" s="12" t="str">
        <x:v>COSTS ARE PART OF THE STRATEGY</x:v>
      </x:c>
      <x:c r="C12" s="12" t="str">
        <x:v>Include commissions/fees, spread, slippage, borrow, dividends, funding, roll, margin, option bid/ask/assignment, and market impact where relevant.</x:v>
      </x:c>
      <x:c r="D12" s="43" t="str">
        <x:v>MANDATORY</x:v>
      </x:c>
    </x:row>
    <x:row r="13" ht="44" customHeight="1">
      <x:c r="A13" s="12" t="str">
        <x:v>9</x:v>
      </x:c>
      <x:c r="B13" s="12" t="str">
        <x:v>POINT-IN-TIME FUNDAMENTALS / NEWS</x:v>
      </x:c>
      <x:c r="C13" s="12" t="str">
        <x:v>Use original publication/filing timestamps and contemporaneous data, not restated future values or retrospectively clean datasets.</x:v>
      </x:c>
      <x:c r="D13" s="43" t="str">
        <x:v>MANDATORY</x:v>
      </x:c>
    </x:row>
    <x:row r="14" ht="44" customHeight="1">
      <x:c r="A14" s="12" t="str">
        <x:v>10</x:v>
      </x:c>
      <x:c r="B14" s="12" t="str">
        <x:v>CHRONOLOGICAL VALIDATION</x:v>
      </x:c>
      <x:c r="C14" s="12" t="str">
        <x:v>Use train/formation → validation/OOS → reserved final holdout. The final holdout stays untouched until the predeclared decision point.</x:v>
      </x:c>
      <x:c r="D14" s="43" t="str">
        <x:v>MANDATORY</x:v>
      </x:c>
    </x:row>
    <x:row r="15" ht="44" customHeight="1">
      <x:c r="A15" s="12" t="str">
        <x:v>11</x:v>
      </x:c>
      <x:c r="B15" s="12" t="str">
        <x:v>FWD_RET IS NOT P&amp;L</x:v>
      </x:c>
      <x:c r="C15" s="12" t="str">
        <x:v>If MQD uses fwd_ret as a classification label, it must never be silently treated as executable trading profit.</x:v>
      </x:c>
      <x:c r="D15" s="43" t="str">
        <x:v>MANDATORY</x:v>
      </x:c>
    </x:row>
    <x:row r="16" ht="44" customHeight="1">
      <x:c r="A16" s="12" t="str">
        <x:v>12</x:v>
      </x:c>
      <x:c r="B16" s="12" t="str">
        <x:v>SHORT REALITY</x:v>
      </x:c>
      <x:c r="C16" s="12" t="str">
        <x:v>Short tests require borrow/locate availability, borrow fee, recall risk, hard-to-borrow exclusions, dividend obligations, and price/SSR constraints where applicable.</x:v>
      </x:c>
      <x:c r="D16" s="43" t="str">
        <x:v>MANDATORY</x:v>
      </x:c>
    </x:row>
    <x:row r="17" ht="44" customHeight="1">
      <x:c r="A17" s="12" t="str">
        <x:v>13</x:v>
      </x:c>
      <x:c r="B17" s="12" t="str">
        <x:v>FUTURES REALITY</x:v>
      </x:c>
      <x:c r="C17" s="12" t="str">
        <x:v>Use contract-level chronology, expiry/roll rules, tick/multiplier, margin, session calendar and limit behavior; continuous series alone are not fills.</x:v>
      </x:c>
      <x:c r="D17" s="43" t="str">
        <x:v>MANDATORY</x:v>
      </x:c>
    </x:row>
    <x:row r="18" ht="44" customHeight="1">
      <x:c r="A18" s="12" t="str">
        <x:v>14</x:v>
      </x:c>
      <x:c r="B18" s="12" t="str">
        <x:v>OPTIONS REALITY</x:v>
      </x:c>
      <x:c r="C18" s="12" t="str">
        <x:v>Use point-in-time chains, strikes/expiries actually listed, IV/bid-ask, assignment/exercise, dividends/rates and multi-leg execution assumptions.</x:v>
      </x:c>
      <x:c r="D18" s="43" t="str">
        <x:v>MANDATORY</x:v>
      </x:c>
    </x:row>
    <x:row r="19" ht="44" customHeight="1">
      <x:c r="A19" s="12" t="str">
        <x:v>15</x:v>
      </x:c>
      <x:c r="B19" s="12" t="str">
        <x:v>CRYPTO REALITY</x:v>
      </x:c>
      <x:c r="C19" s="12" t="str">
        <x:v>Use venue-specific fees, funding, borrow, liquidation mechanics, market hours (24/7), symbol mappings, and exchange-specific liquidity.</x:v>
      </x:c>
      <x:c r="D19" s="43" t="str">
        <x:v>MANDATORY</x:v>
      </x:c>
    </x:row>
    <x:row r="20" ht="44" customHeight="1">
      <x:c r="A20" s="12" t="str">
        <x:v>16</x:v>
      </x:c>
      <x:c r="B20" s="12" t="str">
        <x:v>MARKET-NEUTRAL IS NOT RISKLESS</x:v>
      </x:c>
      <x:c r="C20" s="12" t="str">
        <x:v>Pairs/stat-arb must define hedge ratio, gross/net exposure, beta/factor neutrality, stop/relationship-break logic, and simultaneous-leg execution assumptions.</x:v>
      </x:c>
      <x:c r="D20" s="43" t="str">
        <x:v>MANDATORY</x:v>
      </x:c>
    </x:row>
    <x:row r="21" ht="44" customHeight="1">
      <x:c r="A21" s="12" t="str">
        <x:v>17</x:v>
      </x:c>
      <x:c r="B21" s="12" t="str">
        <x:v>NO AUTOMATIC PROMOTION</x:v>
      </x:c>
      <x:c r="C21" s="12" t="str">
        <x:v>Nothing in this workbook can authorize Research→Backtest→Promotion→Paper or any broker action.</x:v>
      </x:c>
      <x:c r="D21" s="43" t="str">
        <x:v>MANDATORY</x:v>
      </x:c>
    </x:row>
    <x:row r="22" ht="44" customHeight="1">
      <x:c r="A22" s="12" t="str">
        <x:v>18</x:v>
      </x:c>
      <x:c r="B22" s="12" t="str">
        <x:v>NO LIVE</x:v>
      </x:c>
      <x:c r="C22" s="12" t="str">
        <x:v>Collection and testing must never require enabling Live or placing a Live order.</x:v>
      </x:c>
      <x:c r="D22" s="43" t="str">
        <x:v>MANDATORY</x:v>
      </x:c>
    </x:row>
  </x:sheetData>
  <x:mergeCells>
    <x:mergeCell ref="A1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9" t="str">
        <x:v>How to Use This Catalog</x:v>
      </x:c>
      <x:c r="B1" s="19"/>
      <x:c r="C1" s="19"/>
      <x:c r="D1" s="19"/>
      <x:c r="E1" s="19"/>
      <x:c r="F1" s="19"/>
    </x:row>
    <x:row r="2">
      <x:c r="A2" s="19"/>
      <x:c r="B2" s="19"/>
      <x:c r="C2" s="19"/>
      <x:c r="D2" s="19"/>
      <x:c r="E2" s="19"/>
      <x:c r="F2" s="19"/>
    </x:row>
    <x:row r="4">
      <x:c r="A4" s="6" t="str">
        <x:v>Field</x:v>
      </x:c>
      <x:c r="B4" s="6" t="str">
        <x:v>Meaning</x:v>
      </x:c>
    </x:row>
    <x:row r="5" ht="42" customHeight="1">
      <x:c r="A5" s="12" t="str">
        <x:v>Purpose</x:v>
      </x:c>
      <x:c r="B5" s="12" t="str">
        <x:v>Fast external-alpha idea collection for later MQD research. It is intentionally broad and source-agnostic.</x:v>
      </x:c>
    </x:row>
    <x:row r="6" ht="42" customHeight="1">
      <x:c r="A6" s="12" t="str">
        <x:v>Snapshot</x:v>
      </x:c>
      <x:c r="B6" s="12" t="str">
        <x:v>200 potential strategy ideas collected across technical, factor, stat-arb, seasonality, futures, FX, crypto, options, academic and ML sources.</x:v>
      </x:c>
    </x:row>
    <x:row r="7" ht="42" customHeight="1">
      <x:c r="A7" s="12" t="str">
        <x:v>What it is NOT</x:v>
      </x:c>
      <x:c r="B7" s="12" t="str">
        <x:v>Not a validated strategy list, not a profitability ranking, not promotion evidence, and not broker authority.</x:v>
      </x:c>
    </x:row>
    <x:row r="8" ht="42" customHeight="1">
      <x:c r="A8" s="12" t="str">
        <x:v>Long / Short</x:v>
      </x:c>
      <x:c r="B8" s="12" t="str">
        <x:v>The catalog records source-native direction and whether MQD should test long, short, both, market-neutral, or a separately registered derived mirror.</x:v>
      </x:c>
    </x:row>
    <x:row r="9" ht="42" customHeight="1">
      <x:c r="A9" s="12" t="str">
        <x:v>Priority</x:v>
      </x:c>
      <x:c r="B9" s="12" t="str">
        <x:v>A = easiest/highest-value to test credibly; B = useful but needs more data/special handling; C = model-heavy, ambiguous, or mainly useful as falsification/research.</x:v>
      </x:c>
    </x:row>
    <x:row r="10" ht="42" customHeight="1">
      <x:c r="A10" s="12" t="str">
        <x:v>Source Fidelity</x:v>
      </x:c>
      <x:c r="B10" s="12" t="str">
        <x:v>Approximate confidence that the normalized rule accurately reflects the public source summary. It is NOT confidence the strategy is profitable.</x:v>
      </x:c>
    </x:row>
    <x:row r="11" ht="42" customHeight="1">
      <x:c r="A11" s="12" t="str">
        <x:v>Next Formalization Step</x:v>
      </x:c>
      <x:c r="B11" s="12" t="str">
        <x:v>Split each selected row into immutable MQD hypothesis/candidate definitions; inspect full source where Spec_Status says more detail is required; declare exact parameter grid and data before evaluation.</x:v>
      </x:c>
    </x:row>
    <x:row r="12" ht="42" customHeight="1">
      <x:c r="A12" s="12" t="str">
        <x:v>Recommended First Pass</x:v>
      </x:c>
      <x:c r="B12" s="12" t="str">
        <x:v>Start with simple, deterministic A-priority equity/ETF long/short candidates and cross-check against the alpha census before broad multi-asset implementation.</x:v>
      </x:c>
    </x:row>
    <x:row r="13" ht="42" customHeight="1">
      <x:c r="A13" s="12" t="str">
        <x:v>Copyright / Code</x:v>
      </x:c>
      <x:c r="B13" s="12" t="str">
        <x:v>Rules are summarized in our own words. Public source code is not copied into this workbook.</x:v>
      </x:c>
    </x:row>
    <x:row r="14" ht="42" customHeight="1">
      <x:c r="A14" s="12" t="str">
        <x:v>Web Scope</x:v>
      </x:c>
      <x:c r="B14" s="12" t="str">
        <x:v>This is a large first-pass snapshot, not a claim of exhausting the entire internet. More sources can be appended without changing existing candidate IDs.</x:v>
      </x:c>
    </x:row>
  </x:sheetData>
  <x:mergeCells>
    <x:mergeCell ref="A1:F2"/>
  </x:mergeCells>
  <x:pageMargins left="0.7" right="0.7" top="0.75" bottom="0.75" header="0.3" footer="0.3"/>
</x:worksheet>
</file>